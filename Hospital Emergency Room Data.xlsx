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ta analytics Excel projects\Project3  Hosiptal Management Room Arrangement\"/>
    </mc:Choice>
  </mc:AlternateContent>
  <xr:revisionPtr revIDLastSave="0" documentId="13_ncr:1_{C813A3C8-CC7F-4807-B797-220A6F700B60}" xr6:coauthVersionLast="47" xr6:coauthVersionMax="47" xr10:uidLastSave="{00000000-0000-0000-0000-000000000000}"/>
  <bookViews>
    <workbookView xWindow="-120" yWindow="-120" windowWidth="20640" windowHeight="11040" xr2:uid="{03FF2FF2-689A-4E3B-9FA1-769757F9F9A6}"/>
  </bookViews>
  <sheets>
    <sheet name="Pivot Table" sheetId="1" r:id="rId1"/>
    <sheet name="Patient Score" sheetId="5" r:id="rId2"/>
    <sheet name="Dashboard" sheetId="2" r:id="rId3"/>
    <sheet name="Patients Average Waiting Time" sheetId="4" r:id="rId4"/>
    <sheet name="No of Patient Trends" sheetId="3" r:id="rId5"/>
  </sheets>
  <definedNames>
    <definedName name="Slicer_Column1__Month">#N/A</definedName>
    <definedName name="Slicer_Column1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d39ffecb-adfa-432a-8be1-54aee25a9b5d" name="Hospital Emergency Room Data  1" connection="Query - Hospital Emergency Room Data (1)"/>
          <x15:modelTable id="Calender_Table_78ac010e-2ce0-49e8-b70f-60b1c8495dec" name="Calender_Table" connection="Query - Calender_Table"/>
        </x15:modelTables>
        <x15:modelRelationships>
          <x15:modelRelationship fromTable="Hospital Emergency Room Data  1" fromColumn="Patient Admission Date" toTable="Calender_Table" toColumn="Column1"/>
        </x15:modelRelationships>
        <x15:extLst>
          <ext xmlns:x16="http://schemas.microsoft.com/office/spreadsheetml/2014/11/main" uri="{9835A34E-60A6-4A7C-AAB8-D5F71C897F49}">
            <x16:modelTimeGroupings>
              <x16:modelTimeGrouping tableName="Calender_Tabl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2" i="1" l="1"/>
  <c r="A51" i="1"/>
  <c r="B51" i="1"/>
  <c r="C51" i="1"/>
  <c r="B52" i="1"/>
  <c r="C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3A6D4E-A7D8-4E9C-A398-FD60DC4ACB7A}" name="Query - Calender_Table" description="Connection to the 'Calender_Table' query in the workbook." type="100" refreshedVersion="8" minRefreshableVersion="5">
    <extLst>
      <ext xmlns:x15="http://schemas.microsoft.com/office/spreadsheetml/2010/11/main" uri="{DE250136-89BD-433C-8126-D09CA5730AF9}">
        <x15:connection id="982fb205-1e9b-4875-a00d-fe92da4fe616">
          <x15:oledbPr connection="Provider=Microsoft.Mashup.OleDb.1;Data Source=$Workbook$;Location=Calender_Table;Extended Properties=&quot;&quot;">
            <x15:dbTables>
              <x15:dbTable name="Calender_Table"/>
            </x15:dbTables>
          </x15:oledbPr>
        </x15:connection>
      </ext>
    </extLst>
  </connection>
  <connection id="2" xr16:uid="{168BC3D2-4C5C-4663-B800-6B77CDFB47EF}"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5e12adfe-e98a-450a-af83-f7976a8d038f"/>
      </ext>
    </extLst>
  </connection>
  <connection id="3" xr16:uid="{25FABBC2-C8C5-4D74-8DE7-DB3DFACF122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<sst xmlns="http://schemas.openxmlformats.org/spreadsheetml/2006/main" count="150" uniqueCount="71">
  <si>
    <t>Count of Patient Id</t>
  </si>
  <si>
    <t>No Of Patient</t>
  </si>
  <si>
    <t>Average of Patient Waittime</t>
  </si>
  <si>
    <t>Sum of Patient Satisfaction Score</t>
  </si>
  <si>
    <t>Average of Patient Satisfaction Score</t>
  </si>
  <si>
    <t>Grand Total</t>
  </si>
  <si>
    <t>Row Labels</t>
  </si>
  <si>
    <t>Daily Trends of No of Patients</t>
  </si>
  <si>
    <t xml:space="preserve">Average Wait Time </t>
  </si>
  <si>
    <t>Satisfaction Score</t>
  </si>
  <si>
    <t>Admitted</t>
  </si>
  <si>
    <t>Not Admitted</t>
  </si>
  <si>
    <t>Count of Patient Id2</t>
  </si>
  <si>
    <t>Addmission Status</t>
  </si>
  <si>
    <t>No of Patient</t>
  </si>
  <si>
    <t>% Satus</t>
  </si>
  <si>
    <t>0-9</t>
  </si>
  <si>
    <t>10-19</t>
  </si>
  <si>
    <t>20-29</t>
  </si>
  <si>
    <t>30-39</t>
  </si>
  <si>
    <t>40-49</t>
  </si>
  <si>
    <t>50-59</t>
  </si>
  <si>
    <t>60-69</t>
  </si>
  <si>
    <t>70-79</t>
  </si>
  <si>
    <t>Count of Age Group</t>
  </si>
  <si>
    <t>Delay</t>
  </si>
  <si>
    <t>Ontime</t>
  </si>
  <si>
    <t>Count of Calculated Column 1</t>
  </si>
  <si>
    <t>Female</t>
  </si>
  <si>
    <t>Male</t>
  </si>
  <si>
    <t>Count of Patient Gender</t>
  </si>
  <si>
    <t>Cardiology</t>
  </si>
  <si>
    <t>Gastroenterology</t>
  </si>
  <si>
    <t>General Practice</t>
  </si>
  <si>
    <t>Neurology</t>
  </si>
  <si>
    <t>None</t>
  </si>
  <si>
    <t>Orthopedics</t>
  </si>
  <si>
    <t>Physiotherapy</t>
  </si>
  <si>
    <t>Renal</t>
  </si>
  <si>
    <t>Count of Department Referral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</si>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</sst>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rgb="FFFFFFFF"/>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rgb="FF227ACB"/>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0" fontId="1" fillId="3" borderId="0" xfId="0" applyFont="1" applyFill="1"/>
    <xf numFmtId="0" fontId="0" fillId="4" borderId="0" xfId="0" applyFill="1"/>
    <xf numFmtId="0" fontId="0" fillId="4" borderId="0" xfId="0" applyFill="1" applyAlignment="1">
      <alignment horizontal="center" vertical="center"/>
    </xf>
    <xf numFmtId="10" fontId="0" fillId="4" borderId="0" xfId="0" applyNumberFormat="1" applyFill="1" applyAlignment="1">
      <alignment horizontal="center" vertical="center"/>
    </xf>
    <xf numFmtId="0" fontId="0" fillId="0" borderId="1" xfId="0" applyBorder="1"/>
    <xf numFmtId="2" fontId="0" fillId="0" borderId="1" xfId="0" applyNumberFormat="1" applyBorder="1"/>
    <xf numFmtId="0" fontId="0" fillId="0" borderId="1" xfId="0" pivotButton="1" applyBorder="1"/>
    <xf numFmtId="0" fontId="0" fillId="0" borderId="1" xfId="0" applyBorder="1" applyAlignment="1">
      <alignment horizontal="left"/>
    </xf>
    <xf numFmtId="0" fontId="0" fillId="0" borderId="1" xfId="0" applyBorder="1" applyAlignment="1">
      <alignment horizontal="center"/>
    </xf>
    <xf numFmtId="10" fontId="0" fillId="0" borderId="1" xfId="0" applyNumberFormat="1" applyBorder="1"/>
  </cellXfs>
  <cellStyles count="1">
    <cellStyle name="Normal" xfId="0" builtinId="0"/>
  </cellStyles>
  <dxfs count="49">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0" formatCode="General"/>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5"/>
        </bottom>
        <vertical/>
        <horizontal/>
      </border>
    </dxf>
    <dxf>
      <font>
        <sz val="7"/>
        <color theme="1"/>
      </font>
      <fill>
        <patternFill patternType="none">
          <bgColor auto="1"/>
        </patternFill>
      </fill>
      <border diagonalUp="0" diagonalDown="0">
        <left/>
        <right/>
        <top/>
        <bottom/>
        <vertical/>
        <horizontal/>
      </border>
    </dxf>
  </dxfs>
  <tableStyles count="2" defaultTableStyle="TableStyleMedium2" defaultPivotStyle="PivotStyleLight16">
    <tableStyle name="Invisible" pivot="0" table="0" count="0" xr9:uid="{DB24C888-F9D6-4F20-B2AE-47452F7FAFF8}"/>
    <tableStyle name="my style" pivot="0" table="0" count="10" xr9:uid="{977CB4B3-3F92-4A3F-8880-FDBF52F4B890}">
      <tableStyleElement type="wholeTable" dxfId="48"/>
      <tableStyleElement type="headerRow" dxfId="47"/>
    </tableStyle>
  </tableStyles>
  <colors>
    <mruColors>
      <color rgb="FFFFFFFF"/>
      <color rgb="FF0033CC"/>
      <color rgb="FF003399"/>
      <color rgb="FF00CC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35.xml"/><Relationship Id="rId19" Type="http://schemas.microsoft.com/office/2007/relationships/slicerCache" Target="slicerCaches/slicerCache1.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5.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Table!PivotTable5</c:name>
    <c:fmtId val="0"/>
  </c:pivotSource>
  <c:chart>
    <c:autoTitleDeleted val="0"/>
    <c:pivotFmts>
      <c:pivotFmt>
        <c:idx val="0"/>
        <c:spPr>
          <a:solidFill>
            <a:schemeClr val="accent5">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s>
    <c:plotArea>
      <c:layout>
        <c:manualLayout>
          <c:layoutTarget val="inner"/>
          <c:xMode val="edge"/>
          <c:yMode val="edge"/>
          <c:x val="8.3140562485869041E-2"/>
          <c:y val="0.10367375719826066"/>
          <c:w val="0.52576484119260369"/>
          <c:h val="0.81797325411607313"/>
        </c:manualLayout>
      </c:layout>
      <c:barChart>
        <c:barDir val="bar"/>
        <c:grouping val="clustered"/>
        <c:varyColors val="0"/>
        <c:ser>
          <c:idx val="1"/>
          <c:order val="0"/>
          <c:tx>
            <c:strRef>
              <c:f>'Pivot Table'!$B$41</c:f>
              <c:strCache>
                <c:ptCount val="1"/>
                <c:pt idx="0">
                  <c:v>Count of Patient Id</c:v>
                </c:pt>
              </c:strCache>
            </c:strRef>
          </c:tx>
          <c:spPr>
            <a:solidFill>
              <a:schemeClr val="accent5">
                <a:lumMod val="50000"/>
              </a:schemeClr>
            </a:solidFill>
            <a:ln>
              <a:noFill/>
            </a:ln>
            <a:effectLst/>
          </c:spPr>
          <c:invertIfNegative val="0"/>
          <c:cat>
            <c:strRef>
              <c:f>'Pivot Table'!$A$42:$A$44</c:f>
              <c:strCache>
                <c:ptCount val="2"/>
                <c:pt idx="0">
                  <c:v>Admitted</c:v>
                </c:pt>
                <c:pt idx="1">
                  <c:v>Not Admitted</c:v>
                </c:pt>
              </c:strCache>
            </c:strRef>
          </c:cat>
          <c:val>
            <c:numRef>
              <c:f>'Pivot Table'!$B$42:$B$44</c:f>
              <c:numCache>
                <c:formatCode>General</c:formatCode>
                <c:ptCount val="2"/>
                <c:pt idx="0">
                  <c:v>487</c:v>
                </c:pt>
                <c:pt idx="1">
                  <c:v>504</c:v>
                </c:pt>
              </c:numCache>
            </c:numRef>
          </c:val>
          <c:extLst>
            <c:ext xmlns:c16="http://schemas.microsoft.com/office/drawing/2014/chart" uri="{C3380CC4-5D6E-409C-BE32-E72D297353CC}">
              <c16:uniqueId val="{00000001-6893-472E-9B46-B0C45BFA135F}"/>
            </c:ext>
          </c:extLst>
        </c:ser>
        <c:ser>
          <c:idx val="0"/>
          <c:order val="1"/>
          <c:tx>
            <c:strRef>
              <c:f>'Pivot Table'!$C$41</c:f>
              <c:strCache>
                <c:ptCount val="1"/>
                <c:pt idx="0">
                  <c:v>Count of Patient Id2</c:v>
                </c:pt>
              </c:strCache>
            </c:strRef>
          </c:tx>
          <c:spPr>
            <a:solidFill>
              <a:schemeClr val="accent1"/>
            </a:solidFill>
            <a:ln>
              <a:noFill/>
            </a:ln>
            <a:effectLst/>
          </c:spPr>
          <c:invertIfNegative val="0"/>
          <c:cat>
            <c:strRef>
              <c:f>'Pivot Table'!$A$42:$A$44</c:f>
              <c:strCache>
                <c:ptCount val="2"/>
                <c:pt idx="0">
                  <c:v>Admitted</c:v>
                </c:pt>
                <c:pt idx="1">
                  <c:v>Not Admitted</c:v>
                </c:pt>
              </c:strCache>
            </c:strRef>
          </c:cat>
          <c:val>
            <c:numRef>
              <c:f>'Pivot Table'!$C$42:$C$44</c:f>
              <c:numCache>
                <c:formatCode>0.00%</c:formatCode>
                <c:ptCount val="2"/>
                <c:pt idx="0">
                  <c:v>0.49142280524722504</c:v>
                </c:pt>
                <c:pt idx="1">
                  <c:v>0.50857719475277496</c:v>
                </c:pt>
              </c:numCache>
            </c:numRef>
          </c:val>
          <c:extLst>
            <c:ext xmlns:c16="http://schemas.microsoft.com/office/drawing/2014/chart" uri="{C3380CC4-5D6E-409C-BE32-E72D297353CC}">
              <c16:uniqueId val="{00000006-6893-472E-9B46-B0C45BFA135F}"/>
            </c:ext>
          </c:extLst>
        </c:ser>
        <c:dLbls>
          <c:showLegendKey val="0"/>
          <c:showVal val="0"/>
          <c:showCatName val="0"/>
          <c:showSerName val="0"/>
          <c:showPercent val="0"/>
          <c:showBubbleSize val="0"/>
        </c:dLbls>
        <c:gapWidth val="0"/>
        <c:axId val="1895539696"/>
        <c:axId val="1895538256"/>
      </c:barChart>
      <c:catAx>
        <c:axId val="1895539696"/>
        <c:scaling>
          <c:orientation val="minMax"/>
        </c:scaling>
        <c:delete val="1"/>
        <c:axPos val="l"/>
        <c:numFmt formatCode="General" sourceLinked="1"/>
        <c:majorTickMark val="none"/>
        <c:minorTickMark val="none"/>
        <c:tickLblPos val="nextTo"/>
        <c:crossAx val="1895538256"/>
        <c:crosses val="autoZero"/>
        <c:auto val="1"/>
        <c:lblAlgn val="ctr"/>
        <c:lblOffset val="100"/>
        <c:noMultiLvlLbl val="0"/>
      </c:catAx>
      <c:valAx>
        <c:axId val="1895538256"/>
        <c:scaling>
          <c:orientation val="minMax"/>
        </c:scaling>
        <c:delete val="1"/>
        <c:axPos val="b"/>
        <c:numFmt formatCode="General" sourceLinked="1"/>
        <c:majorTickMark val="none"/>
        <c:minorTickMark val="none"/>
        <c:tickLblPos val="nextTo"/>
        <c:crossAx val="189553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Table!PivotTable7</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Table'!$K$5:$K$35</c:f>
              <c:numCache>
                <c:formatCode>General</c:formatCode>
                <c:ptCount val="30"/>
                <c:pt idx="0">
                  <c:v>43</c:v>
                </c:pt>
                <c:pt idx="1">
                  <c:v>58</c:v>
                </c:pt>
                <c:pt idx="2">
                  <c:v>47</c:v>
                </c:pt>
                <c:pt idx="3">
                  <c:v>70</c:v>
                </c:pt>
                <c:pt idx="4">
                  <c:v>61</c:v>
                </c:pt>
                <c:pt idx="5">
                  <c:v>34</c:v>
                </c:pt>
                <c:pt idx="6">
                  <c:v>41</c:v>
                </c:pt>
                <c:pt idx="7">
                  <c:v>25</c:v>
                </c:pt>
                <c:pt idx="8">
                  <c:v>94</c:v>
                </c:pt>
                <c:pt idx="9">
                  <c:v>38</c:v>
                </c:pt>
                <c:pt idx="10">
                  <c:v>68</c:v>
                </c:pt>
                <c:pt idx="11">
                  <c:v>35</c:v>
                </c:pt>
                <c:pt idx="12">
                  <c:v>32</c:v>
                </c:pt>
                <c:pt idx="13">
                  <c:v>55</c:v>
                </c:pt>
                <c:pt idx="14">
                  <c:v>52</c:v>
                </c:pt>
                <c:pt idx="15">
                  <c:v>13</c:v>
                </c:pt>
                <c:pt idx="16">
                  <c:v>65</c:v>
                </c:pt>
                <c:pt idx="17">
                  <c:v>42</c:v>
                </c:pt>
                <c:pt idx="18">
                  <c:v>22</c:v>
                </c:pt>
                <c:pt idx="19">
                  <c:v>27</c:v>
                </c:pt>
                <c:pt idx="20">
                  <c:v>37</c:v>
                </c:pt>
                <c:pt idx="21">
                  <c:v>45</c:v>
                </c:pt>
                <c:pt idx="22">
                  <c:v>35</c:v>
                </c:pt>
                <c:pt idx="23">
                  <c:v>42</c:v>
                </c:pt>
                <c:pt idx="24">
                  <c:v>56</c:v>
                </c:pt>
                <c:pt idx="25">
                  <c:v>54</c:v>
                </c:pt>
                <c:pt idx="26">
                  <c:v>57</c:v>
                </c:pt>
                <c:pt idx="27">
                  <c:v>66</c:v>
                </c:pt>
                <c:pt idx="28">
                  <c:v>56</c:v>
                </c:pt>
                <c:pt idx="29">
                  <c:v>35</c:v>
                </c:pt>
              </c:numCache>
            </c:numRef>
          </c:val>
          <c:extLst>
            <c:ext xmlns:c16="http://schemas.microsoft.com/office/drawing/2014/chart" uri="{C3380CC4-5D6E-409C-BE32-E72D297353CC}">
              <c16:uniqueId val="{00000000-F496-4992-A162-9C64029B8B39}"/>
            </c:ext>
          </c:extLst>
        </c:ser>
        <c:dLbls>
          <c:showLegendKey val="0"/>
          <c:showVal val="0"/>
          <c:showCatName val="0"/>
          <c:showSerName val="0"/>
          <c:showPercent val="0"/>
          <c:showBubbleSize val="0"/>
        </c:dLbls>
        <c:axId val="1128935887"/>
        <c:axId val="1128939727"/>
      </c:areaChart>
      <c:catAx>
        <c:axId val="112893588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939727"/>
        <c:crosses val="autoZero"/>
        <c:auto val="1"/>
        <c:lblAlgn val="ctr"/>
        <c:lblOffset val="100"/>
        <c:noMultiLvlLbl val="0"/>
      </c:catAx>
      <c:valAx>
        <c:axId val="112893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9358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Table!PivotTable4</c:name>
    <c:fmtId val="3"/>
  </c:pivotSource>
  <c:chart>
    <c:autoTitleDeleted val="1"/>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10986444252164E-3"/>
          <c:y val="1.528841257457335E-2"/>
          <c:w val="0.99587890135557477"/>
          <c:h val="0.75857856305273053"/>
        </c:manualLayout>
      </c:layout>
      <c:areaChart>
        <c:grouping val="standard"/>
        <c:varyColors val="0"/>
        <c:ser>
          <c:idx val="0"/>
          <c:order val="0"/>
          <c:tx>
            <c:strRef>
              <c:f>'Pivot Table'!$E$3</c:f>
              <c:strCache>
                <c:ptCount val="1"/>
                <c:pt idx="0">
                  <c:v>Total</c:v>
                </c:pt>
              </c:strCache>
            </c:strRef>
          </c:tx>
          <c:spPr>
            <a:solidFill>
              <a:schemeClr val="accent5">
                <a:lumMod val="50000"/>
              </a:schemeClr>
            </a:solidFill>
            <a:ln>
              <a:noFill/>
            </a:ln>
            <a:effectLst/>
          </c:spPr>
          <c:cat>
            <c:strRef>
              <c:f>'Pivot Table'!$D$4:$D$34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Table'!$E$4:$E$34</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F098-408C-8479-A6479021EF60}"/>
            </c:ext>
          </c:extLst>
        </c:ser>
        <c:dLbls>
          <c:showLegendKey val="0"/>
          <c:showVal val="0"/>
          <c:showCatName val="0"/>
          <c:showSerName val="0"/>
          <c:showPercent val="0"/>
          <c:showBubbleSize val="0"/>
        </c:dLbls>
        <c:axId val="1128870127"/>
        <c:axId val="1128872047"/>
      </c:areaChart>
      <c:catAx>
        <c:axId val="1128870127"/>
        <c:scaling>
          <c:orientation val="minMax"/>
        </c:scaling>
        <c:delete val="1"/>
        <c:axPos val="b"/>
        <c:numFmt formatCode="General" sourceLinked="1"/>
        <c:majorTickMark val="out"/>
        <c:minorTickMark val="none"/>
        <c:tickLblPos val="nextTo"/>
        <c:crossAx val="1128872047"/>
        <c:crosses val="autoZero"/>
        <c:auto val="1"/>
        <c:lblAlgn val="ctr"/>
        <c:lblOffset val="100"/>
        <c:noMultiLvlLbl val="0"/>
      </c:catAx>
      <c:valAx>
        <c:axId val="1128872047"/>
        <c:scaling>
          <c:orientation val="minMax"/>
        </c:scaling>
        <c:delete val="1"/>
        <c:axPos val="l"/>
        <c:numFmt formatCode="General" sourceLinked="1"/>
        <c:majorTickMark val="none"/>
        <c:minorTickMark val="none"/>
        <c:tickLblPos val="nextTo"/>
        <c:crossAx val="1128870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82188583058598E-2"/>
          <c:y val="0.24086057396885122"/>
          <c:w val="0.90040331233053084"/>
          <c:h val="0.56645096685606777"/>
        </c:manualLayout>
      </c:layout>
      <c:areaChart>
        <c:grouping val="standard"/>
        <c:varyColors val="0"/>
        <c:ser>
          <c:idx val="0"/>
          <c:order val="0"/>
          <c:tx>
            <c:strRef>
              <c:f>'Pivot Table'!$H$3</c:f>
              <c:strCache>
                <c:ptCount val="1"/>
                <c:pt idx="0">
                  <c:v>Total</c:v>
                </c:pt>
              </c:strCache>
            </c:strRef>
          </c:tx>
          <c:spPr>
            <a:solidFill>
              <a:schemeClr val="accent5">
                <a:lumMod val="50000"/>
              </a:schemeClr>
            </a:solidFill>
            <a:ln>
              <a:noFill/>
            </a:ln>
            <a:effectLst/>
          </c:spPr>
          <c:cat>
            <c:strRef>
              <c:f>'Pivot Table'!$G$4:$G$34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Table'!$H$4:$H$34</c:f>
              <c:numCache>
                <c:formatCode>General</c:formatCode>
                <c:ptCount val="30"/>
                <c:pt idx="0">
                  <c:v>34.279069767441861</c:v>
                </c:pt>
                <c:pt idx="1">
                  <c:v>36.222222222222221</c:v>
                </c:pt>
                <c:pt idx="2">
                  <c:v>35.904761904761905</c:v>
                </c:pt>
                <c:pt idx="3">
                  <c:v>32.53125</c:v>
                </c:pt>
                <c:pt idx="4">
                  <c:v>33.84375</c:v>
                </c:pt>
                <c:pt idx="5">
                  <c:v>35.214285714285715</c:v>
                </c:pt>
                <c:pt idx="6">
                  <c:v>37.21875</c:v>
                </c:pt>
                <c:pt idx="7">
                  <c:v>36.871794871794869</c:v>
                </c:pt>
                <c:pt idx="8">
                  <c:v>36.450000000000003</c:v>
                </c:pt>
                <c:pt idx="9">
                  <c:v>32.935483870967744</c:v>
                </c:pt>
                <c:pt idx="10">
                  <c:v>41.323529411764703</c:v>
                </c:pt>
                <c:pt idx="11">
                  <c:v>34.432432432432435</c:v>
                </c:pt>
                <c:pt idx="12">
                  <c:v>36.966666666666669</c:v>
                </c:pt>
                <c:pt idx="13">
                  <c:v>39.520000000000003</c:v>
                </c:pt>
                <c:pt idx="14">
                  <c:v>36.026315789473685</c:v>
                </c:pt>
                <c:pt idx="15">
                  <c:v>32.370370370370374</c:v>
                </c:pt>
                <c:pt idx="16">
                  <c:v>33.243243243243242</c:v>
                </c:pt>
                <c:pt idx="17">
                  <c:v>33.575757575757578</c:v>
                </c:pt>
                <c:pt idx="18">
                  <c:v>31.130434782608695</c:v>
                </c:pt>
                <c:pt idx="19">
                  <c:v>36.888888888888886</c:v>
                </c:pt>
                <c:pt idx="20">
                  <c:v>29.862068965517242</c:v>
                </c:pt>
                <c:pt idx="21">
                  <c:v>36.526315789473685</c:v>
                </c:pt>
                <c:pt idx="22">
                  <c:v>34.571428571428569</c:v>
                </c:pt>
                <c:pt idx="23">
                  <c:v>38.5</c:v>
                </c:pt>
                <c:pt idx="24">
                  <c:v>37.12903225806452</c:v>
                </c:pt>
                <c:pt idx="25">
                  <c:v>33.852941176470587</c:v>
                </c:pt>
                <c:pt idx="26">
                  <c:v>37.230769230769234</c:v>
                </c:pt>
                <c:pt idx="27">
                  <c:v>36.075000000000003</c:v>
                </c:pt>
                <c:pt idx="28">
                  <c:v>34.354838709677416</c:v>
                </c:pt>
                <c:pt idx="29">
                  <c:v>39.571428571428569</c:v>
                </c:pt>
              </c:numCache>
            </c:numRef>
          </c:val>
          <c:extLst>
            <c:ext xmlns:c16="http://schemas.microsoft.com/office/drawing/2014/chart" uri="{C3380CC4-5D6E-409C-BE32-E72D297353CC}">
              <c16:uniqueId val="{00000000-7972-4F33-81E1-23EA58A77AA0}"/>
            </c:ext>
          </c:extLst>
        </c:ser>
        <c:dLbls>
          <c:showLegendKey val="0"/>
          <c:showVal val="0"/>
          <c:showCatName val="0"/>
          <c:showSerName val="0"/>
          <c:showPercent val="0"/>
          <c:showBubbleSize val="0"/>
        </c:dLbls>
        <c:axId val="1128884047"/>
        <c:axId val="1128887887"/>
      </c:areaChart>
      <c:catAx>
        <c:axId val="1128884047"/>
        <c:scaling>
          <c:orientation val="minMax"/>
        </c:scaling>
        <c:delete val="1"/>
        <c:axPos val="b"/>
        <c:numFmt formatCode="General" sourceLinked="1"/>
        <c:majorTickMark val="out"/>
        <c:minorTickMark val="none"/>
        <c:tickLblPos val="nextTo"/>
        <c:crossAx val="1128887887"/>
        <c:crosses val="autoZero"/>
        <c:auto val="1"/>
        <c:lblAlgn val="ctr"/>
        <c:lblOffset val="100"/>
        <c:noMultiLvlLbl val="0"/>
      </c:catAx>
      <c:valAx>
        <c:axId val="1128887887"/>
        <c:scaling>
          <c:orientation val="minMax"/>
        </c:scaling>
        <c:delete val="1"/>
        <c:axPos val="l"/>
        <c:numFmt formatCode="General" sourceLinked="1"/>
        <c:majorTickMark val="none"/>
        <c:minorTickMark val="none"/>
        <c:tickLblPos val="nextTo"/>
        <c:crossAx val="11288840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Table!PivotTable7</c:name>
    <c:fmtId val="16"/>
  </c:pivotSource>
  <c:chart>
    <c:autoTitleDeleted val="1"/>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Table'!$K$4</c:f>
              <c:strCache>
                <c:ptCount val="1"/>
                <c:pt idx="0">
                  <c:v>Total</c:v>
                </c:pt>
              </c:strCache>
            </c:strRef>
          </c:tx>
          <c:spPr>
            <a:solidFill>
              <a:schemeClr val="accent5">
                <a:lumMod val="50000"/>
              </a:schemeClr>
            </a:solidFill>
            <a:ln>
              <a:noFill/>
            </a:ln>
            <a:effectLst/>
          </c:spPr>
          <c:cat>
            <c:strRef>
              <c:f>'Pivot Table'!$J$5:$J$35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Table'!$K$5:$K$35</c:f>
              <c:numCache>
                <c:formatCode>General</c:formatCode>
                <c:ptCount val="30"/>
                <c:pt idx="0">
                  <c:v>43</c:v>
                </c:pt>
                <c:pt idx="1">
                  <c:v>58</c:v>
                </c:pt>
                <c:pt idx="2">
                  <c:v>47</c:v>
                </c:pt>
                <c:pt idx="3">
                  <c:v>70</c:v>
                </c:pt>
                <c:pt idx="4">
                  <c:v>61</c:v>
                </c:pt>
                <c:pt idx="5">
                  <c:v>34</c:v>
                </c:pt>
                <c:pt idx="6">
                  <c:v>41</c:v>
                </c:pt>
                <c:pt idx="7">
                  <c:v>25</c:v>
                </c:pt>
                <c:pt idx="8">
                  <c:v>94</c:v>
                </c:pt>
                <c:pt idx="9">
                  <c:v>38</c:v>
                </c:pt>
                <c:pt idx="10">
                  <c:v>68</c:v>
                </c:pt>
                <c:pt idx="11">
                  <c:v>35</c:v>
                </c:pt>
                <c:pt idx="12">
                  <c:v>32</c:v>
                </c:pt>
                <c:pt idx="13">
                  <c:v>55</c:v>
                </c:pt>
                <c:pt idx="14">
                  <c:v>52</c:v>
                </c:pt>
                <c:pt idx="15">
                  <c:v>13</c:v>
                </c:pt>
                <c:pt idx="16">
                  <c:v>65</c:v>
                </c:pt>
                <c:pt idx="17">
                  <c:v>42</c:v>
                </c:pt>
                <c:pt idx="18">
                  <c:v>22</c:v>
                </c:pt>
                <c:pt idx="19">
                  <c:v>27</c:v>
                </c:pt>
                <c:pt idx="20">
                  <c:v>37</c:v>
                </c:pt>
                <c:pt idx="21">
                  <c:v>45</c:v>
                </c:pt>
                <c:pt idx="22">
                  <c:v>35</c:v>
                </c:pt>
                <c:pt idx="23">
                  <c:v>42</c:v>
                </c:pt>
                <c:pt idx="24">
                  <c:v>56</c:v>
                </c:pt>
                <c:pt idx="25">
                  <c:v>54</c:v>
                </c:pt>
                <c:pt idx="26">
                  <c:v>57</c:v>
                </c:pt>
                <c:pt idx="27">
                  <c:v>66</c:v>
                </c:pt>
                <c:pt idx="28">
                  <c:v>56</c:v>
                </c:pt>
                <c:pt idx="29">
                  <c:v>35</c:v>
                </c:pt>
              </c:numCache>
            </c:numRef>
          </c:val>
          <c:extLst>
            <c:ext xmlns:c16="http://schemas.microsoft.com/office/drawing/2014/chart" uri="{C3380CC4-5D6E-409C-BE32-E72D297353CC}">
              <c16:uniqueId val="{00000000-DC6A-4029-80F3-2B3FDD6A9D35}"/>
            </c:ext>
          </c:extLst>
        </c:ser>
        <c:dLbls>
          <c:showLegendKey val="0"/>
          <c:showVal val="0"/>
          <c:showCatName val="0"/>
          <c:showSerName val="0"/>
          <c:showPercent val="0"/>
          <c:showBubbleSize val="0"/>
        </c:dLbls>
        <c:axId val="1128935887"/>
        <c:axId val="1128939727"/>
      </c:areaChart>
      <c:catAx>
        <c:axId val="1128935887"/>
        <c:scaling>
          <c:orientation val="minMax"/>
        </c:scaling>
        <c:delete val="1"/>
        <c:axPos val="b"/>
        <c:numFmt formatCode="General" sourceLinked="1"/>
        <c:majorTickMark val="out"/>
        <c:minorTickMark val="none"/>
        <c:tickLblPos val="nextTo"/>
        <c:crossAx val="1128939727"/>
        <c:crosses val="autoZero"/>
        <c:auto val="1"/>
        <c:lblAlgn val="ctr"/>
        <c:lblOffset val="100"/>
        <c:noMultiLvlLbl val="0"/>
      </c:catAx>
      <c:valAx>
        <c:axId val="1128939727"/>
        <c:scaling>
          <c:orientation val="minMax"/>
        </c:scaling>
        <c:delete val="1"/>
        <c:axPos val="l"/>
        <c:numFmt formatCode="General" sourceLinked="1"/>
        <c:majorTickMark val="none"/>
        <c:minorTickMark val="none"/>
        <c:tickLblPos val="nextTo"/>
        <c:crossAx val="11289358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091506524185111E-2"/>
          <c:y val="0.13592363368532073"/>
          <c:w val="0.85781698695162978"/>
          <c:h val="0.43373552588435499"/>
        </c:manualLayout>
      </c:layout>
      <c:barChart>
        <c:barDir val="col"/>
        <c:grouping val="clustered"/>
        <c:varyColors val="0"/>
        <c:ser>
          <c:idx val="0"/>
          <c:order val="0"/>
          <c:tx>
            <c:strRef>
              <c:f>'Pivot Table'!$G$41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Table'!$F$42:$F$50</c:f>
              <c:strCache>
                <c:ptCount val="8"/>
                <c:pt idx="0">
                  <c:v>0-9</c:v>
                </c:pt>
                <c:pt idx="1">
                  <c:v>10-19</c:v>
                </c:pt>
                <c:pt idx="2">
                  <c:v>20-29</c:v>
                </c:pt>
                <c:pt idx="3">
                  <c:v>30-39</c:v>
                </c:pt>
                <c:pt idx="4">
                  <c:v>40-49</c:v>
                </c:pt>
                <c:pt idx="5">
                  <c:v>50-59</c:v>
                </c:pt>
                <c:pt idx="6">
                  <c:v>60-69</c:v>
                </c:pt>
                <c:pt idx="7">
                  <c:v>70-79</c:v>
                </c:pt>
              </c:strCache>
            </c:strRef>
          </c:cat>
          <c:val>
            <c:numRef>
              <c:f>'Pivot Table'!$G$42:$G$50</c:f>
              <c:numCache>
                <c:formatCode>0</c:formatCode>
                <c:ptCount val="8"/>
                <c:pt idx="0">
                  <c:v>113</c:v>
                </c:pt>
                <c:pt idx="1">
                  <c:v>127</c:v>
                </c:pt>
                <c:pt idx="2">
                  <c:v>144</c:v>
                </c:pt>
                <c:pt idx="3">
                  <c:v>126</c:v>
                </c:pt>
                <c:pt idx="4">
                  <c:v>119</c:v>
                </c:pt>
                <c:pt idx="5">
                  <c:v>109</c:v>
                </c:pt>
                <c:pt idx="6">
                  <c:v>125</c:v>
                </c:pt>
                <c:pt idx="7">
                  <c:v>128</c:v>
                </c:pt>
              </c:numCache>
            </c:numRef>
          </c:val>
          <c:extLst>
            <c:ext xmlns:c16="http://schemas.microsoft.com/office/drawing/2014/chart" uri="{C3380CC4-5D6E-409C-BE32-E72D297353CC}">
              <c16:uniqueId val="{00000000-2966-4A60-944F-7B5D1635142A}"/>
            </c:ext>
          </c:extLst>
        </c:ser>
        <c:dLbls>
          <c:showLegendKey val="0"/>
          <c:showVal val="0"/>
          <c:showCatName val="0"/>
          <c:showSerName val="0"/>
          <c:showPercent val="0"/>
          <c:showBubbleSize val="0"/>
        </c:dLbls>
        <c:gapWidth val="219"/>
        <c:overlap val="-27"/>
        <c:axId val="603940304"/>
        <c:axId val="603940784"/>
      </c:barChart>
      <c:catAx>
        <c:axId val="6039403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03940784"/>
        <c:crosses val="autoZero"/>
        <c:auto val="1"/>
        <c:lblAlgn val="ctr"/>
        <c:lblOffset val="100"/>
        <c:noMultiLvlLbl val="0"/>
      </c:catAx>
      <c:valAx>
        <c:axId val="603940784"/>
        <c:scaling>
          <c:orientation val="minMax"/>
        </c:scaling>
        <c:delete val="1"/>
        <c:axPos val="l"/>
        <c:numFmt formatCode="0" sourceLinked="1"/>
        <c:majorTickMark val="none"/>
        <c:minorTickMark val="none"/>
        <c:tickLblPos val="nextTo"/>
        <c:crossAx val="60394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Table!PivotTable9</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1"/>
          </a:solidFill>
          <a:ln>
            <a:noFill/>
          </a:ln>
          <a:effectLst/>
        </c:spPr>
      </c:pivotFmt>
    </c:pivotFmts>
    <c:plotArea>
      <c:layout/>
      <c:pieChart>
        <c:varyColors val="1"/>
        <c:ser>
          <c:idx val="0"/>
          <c:order val="0"/>
          <c:tx>
            <c:strRef>
              <c:f>'Pivot Table'!$K$42</c:f>
              <c:strCache>
                <c:ptCount val="1"/>
                <c:pt idx="0">
                  <c:v>Total</c:v>
                </c:pt>
              </c:strCache>
            </c:strRef>
          </c:tx>
          <c:spPr>
            <a:effectLst/>
          </c:spPr>
          <c:dPt>
            <c:idx val="0"/>
            <c:bubble3D val="0"/>
            <c:spPr>
              <a:solidFill>
                <a:schemeClr val="accent5">
                  <a:lumMod val="50000"/>
                </a:schemeClr>
              </a:solidFill>
              <a:ln>
                <a:noFill/>
              </a:ln>
              <a:effectLst/>
            </c:spPr>
            <c:extLst>
              <c:ext xmlns:c16="http://schemas.microsoft.com/office/drawing/2014/chart" uri="{C3380CC4-5D6E-409C-BE32-E72D297353CC}">
                <c16:uniqueId val="{00000001-BF34-4CAC-A1B3-5E8516DE3099}"/>
              </c:ext>
            </c:extLst>
          </c:dPt>
          <c:dPt>
            <c:idx val="1"/>
            <c:bubble3D val="0"/>
            <c:spPr>
              <a:solidFill>
                <a:schemeClr val="accent2"/>
              </a:solidFill>
              <a:ln>
                <a:noFill/>
              </a:ln>
              <a:effectLst/>
            </c:spPr>
            <c:extLst>
              <c:ext xmlns:c16="http://schemas.microsoft.com/office/drawing/2014/chart" uri="{C3380CC4-5D6E-409C-BE32-E72D297353CC}">
                <c16:uniqueId val="{00000003-BF34-4CAC-A1B3-5E8516DE30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Table'!$J$43:$J$45</c:f>
              <c:strCache>
                <c:ptCount val="2"/>
                <c:pt idx="0">
                  <c:v>Delay</c:v>
                </c:pt>
                <c:pt idx="1">
                  <c:v>Ontime</c:v>
                </c:pt>
              </c:strCache>
            </c:strRef>
          </c:cat>
          <c:val>
            <c:numRef>
              <c:f>'Pivot Table'!$K$43:$K$45</c:f>
              <c:numCache>
                <c:formatCode>0</c:formatCode>
                <c:ptCount val="2"/>
                <c:pt idx="0">
                  <c:v>608</c:v>
                </c:pt>
                <c:pt idx="1">
                  <c:v>383</c:v>
                </c:pt>
              </c:numCache>
            </c:numRef>
          </c:val>
          <c:extLst>
            <c:ext xmlns:c16="http://schemas.microsoft.com/office/drawing/2014/chart" uri="{C3380CC4-5D6E-409C-BE32-E72D297353CC}">
              <c16:uniqueId val="{00000004-BF34-4CAC-A1B3-5E8516DE309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13002268154427213"/>
          <c:y val="7.89236841918773E-2"/>
          <c:w val="0.51475885169769264"/>
          <c:h val="0.106367012887411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Table!PivotTable10</c:name>
    <c:fmtId val="38"/>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7692005801786918"/>
          <c:y val="0.18654687500000003"/>
          <c:w val="0.53804300842137331"/>
          <c:h val="0.68071875000000004"/>
        </c:manualLayout>
      </c:layout>
      <c:doughnutChart>
        <c:varyColors val="1"/>
        <c:ser>
          <c:idx val="0"/>
          <c:order val="0"/>
          <c:tx>
            <c:strRef>
              <c:f>'Pivot Table'!$K$50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BC8-49BA-B7A0-DD475915E4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BC8-49BA-B7A0-DD475915E4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Table'!$J$51:$J$53</c:f>
              <c:strCache>
                <c:ptCount val="2"/>
                <c:pt idx="0">
                  <c:v>Female</c:v>
                </c:pt>
                <c:pt idx="1">
                  <c:v>Male</c:v>
                </c:pt>
              </c:strCache>
            </c:strRef>
          </c:cat>
          <c:val>
            <c:numRef>
              <c:f>'Pivot Table'!$K$51:$K$53</c:f>
              <c:numCache>
                <c:formatCode>0</c:formatCode>
                <c:ptCount val="2"/>
                <c:pt idx="0">
                  <c:v>472</c:v>
                </c:pt>
                <c:pt idx="1">
                  <c:v>519</c:v>
                </c:pt>
              </c:numCache>
            </c:numRef>
          </c:val>
          <c:extLst>
            <c:ext xmlns:c16="http://schemas.microsoft.com/office/drawing/2014/chart" uri="{C3380CC4-5D6E-409C-BE32-E72D297353CC}">
              <c16:uniqueId val="{00000004-8BC8-49BA-B7A0-DD475915E4D5}"/>
            </c:ext>
          </c:extLst>
        </c:ser>
        <c:dLbls>
          <c:showLegendKey val="0"/>
          <c:showVal val="0"/>
          <c:showCatName val="0"/>
          <c:showSerName val="0"/>
          <c:showPercent val="0"/>
          <c:showBubbleSize val="0"/>
          <c:showLeaderLines val="1"/>
        </c:dLbls>
        <c:firstSliceAng val="0"/>
        <c:holeSize val="42"/>
      </c:doughnutChart>
      <c:spPr>
        <a:noFill/>
        <a:ln>
          <a:noFill/>
        </a:ln>
        <a:effectLst/>
      </c:spPr>
    </c:plotArea>
    <c:legend>
      <c:legendPos val="r"/>
      <c:layout>
        <c:manualLayout>
          <c:xMode val="edge"/>
          <c:yMode val="edge"/>
          <c:x val="0.20054668007605983"/>
          <c:y val="5.040105459168788E-2"/>
          <c:w val="0.59824889775654166"/>
          <c:h val="0.1364348958333333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Table!PivotTable11</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07343307568843"/>
          <c:y val="0.1226230267962474"/>
          <c:w val="0.67611644894876877"/>
          <c:h val="0.75475394640750515"/>
        </c:manualLayout>
      </c:layout>
      <c:barChart>
        <c:barDir val="bar"/>
        <c:grouping val="clustered"/>
        <c:varyColors val="0"/>
        <c:ser>
          <c:idx val="0"/>
          <c:order val="0"/>
          <c:tx>
            <c:strRef>
              <c:f>'Pivot Table'!$I$57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Table'!$H$58:$H$66</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Table'!$I$58:$I$66</c:f>
              <c:numCache>
                <c:formatCode>0</c:formatCode>
                <c:ptCount val="8"/>
                <c:pt idx="0">
                  <c:v>25</c:v>
                </c:pt>
                <c:pt idx="1">
                  <c:v>23</c:v>
                </c:pt>
                <c:pt idx="2">
                  <c:v>174</c:v>
                </c:pt>
                <c:pt idx="3">
                  <c:v>27</c:v>
                </c:pt>
                <c:pt idx="4">
                  <c:v>596</c:v>
                </c:pt>
                <c:pt idx="5">
                  <c:v>113</c:v>
                </c:pt>
                <c:pt idx="6">
                  <c:v>29</c:v>
                </c:pt>
                <c:pt idx="7">
                  <c:v>4</c:v>
                </c:pt>
              </c:numCache>
            </c:numRef>
          </c:val>
          <c:extLst>
            <c:ext xmlns:c16="http://schemas.microsoft.com/office/drawing/2014/chart" uri="{C3380CC4-5D6E-409C-BE32-E72D297353CC}">
              <c16:uniqueId val="{00000000-1CB5-4911-BCC9-700DC8118B10}"/>
            </c:ext>
          </c:extLst>
        </c:ser>
        <c:dLbls>
          <c:showLegendKey val="0"/>
          <c:showVal val="0"/>
          <c:showCatName val="0"/>
          <c:showSerName val="0"/>
          <c:showPercent val="0"/>
          <c:showBubbleSize val="0"/>
        </c:dLbls>
        <c:gapWidth val="182"/>
        <c:axId val="2077350368"/>
        <c:axId val="2077348928"/>
      </c:barChart>
      <c:catAx>
        <c:axId val="20773503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77348928"/>
        <c:crosses val="autoZero"/>
        <c:auto val="1"/>
        <c:lblAlgn val="ctr"/>
        <c:lblOffset val="100"/>
        <c:noMultiLvlLbl val="0"/>
      </c:catAx>
      <c:valAx>
        <c:axId val="2077348928"/>
        <c:scaling>
          <c:orientation val="minMax"/>
        </c:scaling>
        <c:delete val="1"/>
        <c:axPos val="b"/>
        <c:numFmt formatCode="0" sourceLinked="1"/>
        <c:majorTickMark val="none"/>
        <c:minorTickMark val="none"/>
        <c:tickLblPos val="nextTo"/>
        <c:crossAx val="207735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Table'!$G$4:$G$34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Table'!$H$4:$H$34</c:f>
              <c:numCache>
                <c:formatCode>General</c:formatCode>
                <c:ptCount val="30"/>
                <c:pt idx="0">
                  <c:v>34.279069767441861</c:v>
                </c:pt>
                <c:pt idx="1">
                  <c:v>36.222222222222221</c:v>
                </c:pt>
                <c:pt idx="2">
                  <c:v>35.904761904761905</c:v>
                </c:pt>
                <c:pt idx="3">
                  <c:v>32.53125</c:v>
                </c:pt>
                <c:pt idx="4">
                  <c:v>33.84375</c:v>
                </c:pt>
                <c:pt idx="5">
                  <c:v>35.214285714285715</c:v>
                </c:pt>
                <c:pt idx="6">
                  <c:v>37.21875</c:v>
                </c:pt>
                <c:pt idx="7">
                  <c:v>36.871794871794869</c:v>
                </c:pt>
                <c:pt idx="8">
                  <c:v>36.450000000000003</c:v>
                </c:pt>
                <c:pt idx="9">
                  <c:v>32.935483870967744</c:v>
                </c:pt>
                <c:pt idx="10">
                  <c:v>41.323529411764703</c:v>
                </c:pt>
                <c:pt idx="11">
                  <c:v>34.432432432432435</c:v>
                </c:pt>
                <c:pt idx="12">
                  <c:v>36.966666666666669</c:v>
                </c:pt>
                <c:pt idx="13">
                  <c:v>39.520000000000003</c:v>
                </c:pt>
                <c:pt idx="14">
                  <c:v>36.026315789473685</c:v>
                </c:pt>
                <c:pt idx="15">
                  <c:v>32.370370370370374</c:v>
                </c:pt>
                <c:pt idx="16">
                  <c:v>33.243243243243242</c:v>
                </c:pt>
                <c:pt idx="17">
                  <c:v>33.575757575757578</c:v>
                </c:pt>
                <c:pt idx="18">
                  <c:v>31.130434782608695</c:v>
                </c:pt>
                <c:pt idx="19">
                  <c:v>36.888888888888886</c:v>
                </c:pt>
                <c:pt idx="20">
                  <c:v>29.862068965517242</c:v>
                </c:pt>
                <c:pt idx="21">
                  <c:v>36.526315789473685</c:v>
                </c:pt>
                <c:pt idx="22">
                  <c:v>34.571428571428569</c:v>
                </c:pt>
                <c:pt idx="23">
                  <c:v>38.5</c:v>
                </c:pt>
                <c:pt idx="24">
                  <c:v>37.12903225806452</c:v>
                </c:pt>
                <c:pt idx="25">
                  <c:v>33.852941176470587</c:v>
                </c:pt>
                <c:pt idx="26">
                  <c:v>37.230769230769234</c:v>
                </c:pt>
                <c:pt idx="27">
                  <c:v>36.075000000000003</c:v>
                </c:pt>
                <c:pt idx="28">
                  <c:v>34.354838709677416</c:v>
                </c:pt>
                <c:pt idx="29">
                  <c:v>39.571428571428569</c:v>
                </c:pt>
              </c:numCache>
            </c:numRef>
          </c:val>
          <c:extLst>
            <c:ext xmlns:c16="http://schemas.microsoft.com/office/drawing/2014/chart" uri="{C3380CC4-5D6E-409C-BE32-E72D297353CC}">
              <c16:uniqueId val="{00000000-9A38-46D4-BEE5-DFE77A5B463A}"/>
            </c:ext>
          </c:extLst>
        </c:ser>
        <c:dLbls>
          <c:showLegendKey val="0"/>
          <c:showVal val="0"/>
          <c:showCatName val="0"/>
          <c:showSerName val="0"/>
          <c:showPercent val="0"/>
          <c:showBubbleSize val="0"/>
        </c:dLbls>
        <c:axId val="1128884047"/>
        <c:axId val="1128887887"/>
      </c:areaChart>
      <c:catAx>
        <c:axId val="11288840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887887"/>
        <c:crosses val="autoZero"/>
        <c:auto val="1"/>
        <c:lblAlgn val="ctr"/>
        <c:lblOffset val="100"/>
        <c:noMultiLvlLbl val="0"/>
      </c:catAx>
      <c:valAx>
        <c:axId val="1128887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8840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Table!PivotTable4</c:name>
    <c:fmtId val="1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0769676689061E-2"/>
          <c:y val="0.12665894375143405"/>
          <c:w val="0.95406110082015894"/>
          <c:h val="0.72324787759738984"/>
        </c:manualLayout>
      </c:layout>
      <c:areaChart>
        <c:grouping val="standard"/>
        <c:varyColors val="0"/>
        <c:ser>
          <c:idx val="0"/>
          <c:order val="0"/>
          <c:tx>
            <c:strRef>
              <c:f>'Pivot Table'!$E$3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Table'!$D$4:$D$34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Table'!$E$4:$E$34</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8265-4AB7-AE34-55CA207AF12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8870127"/>
        <c:axId val="1128872047"/>
      </c:areaChart>
      <c:catAx>
        <c:axId val="11288701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8872047"/>
        <c:crosses val="autoZero"/>
        <c:auto val="1"/>
        <c:lblAlgn val="ctr"/>
        <c:lblOffset val="100"/>
        <c:noMultiLvlLbl val="0"/>
      </c:catAx>
      <c:valAx>
        <c:axId val="1128872047"/>
        <c:scaling>
          <c:orientation val="minMax"/>
        </c:scaling>
        <c:delete val="1"/>
        <c:axPos val="l"/>
        <c:numFmt formatCode="General" sourceLinked="1"/>
        <c:majorTickMark val="out"/>
        <c:minorTickMark val="none"/>
        <c:tickLblPos val="nextTo"/>
        <c:crossAx val="1128870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hyperlink" Target="#'No of Patient Trends'!A1"/><Relationship Id="rId13"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hyperlink" Target="#'Patients Average Waiting Time'!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609601</xdr:colOff>
      <xdr:row>49</xdr:row>
      <xdr:rowOff>9524</xdr:rowOff>
    </xdr:from>
    <xdr:to>
      <xdr:col>3</xdr:col>
      <xdr:colOff>2400300</xdr:colOff>
      <xdr:row>52</xdr:row>
      <xdr:rowOff>57150</xdr:rowOff>
    </xdr:to>
    <xdr:graphicFrame macro="">
      <xdr:nvGraphicFramePr>
        <xdr:cNvPr id="2" name="Chart 1">
          <a:extLst>
            <a:ext uri="{FF2B5EF4-FFF2-40B4-BE49-F238E27FC236}">
              <a16:creationId xmlns:a16="http://schemas.microsoft.com/office/drawing/2014/main" id="{9E6563DB-B73F-0AF2-0179-D89DDA865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1047750</xdr:colOff>
      <xdr:row>69</xdr:row>
      <xdr:rowOff>76202</xdr:rowOff>
    </xdr:from>
    <xdr:to>
      <xdr:col>7</xdr:col>
      <xdr:colOff>1038225</xdr:colOff>
      <xdr:row>71</xdr:row>
      <xdr:rowOff>161926</xdr:rowOff>
    </xdr:to>
    <mc:AlternateContent xmlns:mc="http://schemas.openxmlformats.org/markup-compatibility/2006" xmlns:a14="http://schemas.microsoft.com/office/drawing/2010/main">
      <mc:Choice Requires="a14">
        <xdr:graphicFrame macro="">
          <xdr:nvGraphicFramePr>
            <xdr:cNvPr id="8" name="Column1 (Year)">
              <a:extLst>
                <a:ext uri="{FF2B5EF4-FFF2-40B4-BE49-F238E27FC236}">
                  <a16:creationId xmlns:a16="http://schemas.microsoft.com/office/drawing/2014/main" id="{ED30752E-FC34-8D0E-9B82-00CB98C8F89E}"/>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9001125" y="13220702"/>
              <a:ext cx="1828800" cy="466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542924</xdr:colOff>
      <xdr:row>20</xdr:row>
      <xdr:rowOff>161924</xdr:rowOff>
    </xdr:to>
    <xdr:graphicFrame macro="">
      <xdr:nvGraphicFramePr>
        <xdr:cNvPr id="2" name="Chart 1">
          <a:extLst>
            <a:ext uri="{FF2B5EF4-FFF2-40B4-BE49-F238E27FC236}">
              <a16:creationId xmlns:a16="http://schemas.microsoft.com/office/drawing/2014/main" id="{482E0398-4191-4C2D-818C-33AD6E721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53324</xdr:colOff>
      <xdr:row>0</xdr:row>
      <xdr:rowOff>47976</xdr:rowOff>
    </xdr:from>
    <xdr:to>
      <xdr:col>5</xdr:col>
      <xdr:colOff>112188</xdr:colOff>
      <xdr:row>2</xdr:row>
      <xdr:rowOff>37273</xdr:rowOff>
    </xdr:to>
    <xdr:sp macro="" textlink="">
      <xdr:nvSpPr>
        <xdr:cNvPr id="2" name="Rectangle: Rounded Corners 1">
          <a:extLst>
            <a:ext uri="{FF2B5EF4-FFF2-40B4-BE49-F238E27FC236}">
              <a16:creationId xmlns:a16="http://schemas.microsoft.com/office/drawing/2014/main" id="{F3D694B7-3BCE-E15F-5A45-79D7BB14881A}"/>
            </a:ext>
          </a:extLst>
        </xdr:cNvPr>
        <xdr:cNvSpPr/>
      </xdr:nvSpPr>
      <xdr:spPr>
        <a:xfrm>
          <a:off x="53324" y="47976"/>
          <a:ext cx="3104649" cy="36586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165884</xdr:colOff>
      <xdr:row>0</xdr:row>
      <xdr:rowOff>53513</xdr:rowOff>
    </xdr:from>
    <xdr:to>
      <xdr:col>6</xdr:col>
      <xdr:colOff>438793</xdr:colOff>
      <xdr:row>2</xdr:row>
      <xdr:rowOff>53512</xdr:rowOff>
    </xdr:to>
    <xdr:sp macro="" textlink="">
      <xdr:nvSpPr>
        <xdr:cNvPr id="4" name="Rectangle: Rounded Corners 3">
          <a:extLst>
            <a:ext uri="{FF2B5EF4-FFF2-40B4-BE49-F238E27FC236}">
              <a16:creationId xmlns:a16="http://schemas.microsoft.com/office/drawing/2014/main" id="{0470B904-9995-D4A8-FA46-B1F4576549CB}"/>
            </a:ext>
          </a:extLst>
        </xdr:cNvPr>
        <xdr:cNvSpPr/>
      </xdr:nvSpPr>
      <xdr:spPr>
        <a:xfrm>
          <a:off x="3216024" y="53513"/>
          <a:ext cx="882938" cy="38528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555583</xdr:colOff>
      <xdr:row>0</xdr:row>
      <xdr:rowOff>53512</xdr:rowOff>
    </xdr:from>
    <xdr:to>
      <xdr:col>10</xdr:col>
      <xdr:colOff>560935</xdr:colOff>
      <xdr:row>6</xdr:row>
      <xdr:rowOff>16054</xdr:rowOff>
    </xdr:to>
    <xdr:sp macro="" textlink="">
      <xdr:nvSpPr>
        <xdr:cNvPr id="7" name="Rectangle 6">
          <a:extLst>
            <a:ext uri="{FF2B5EF4-FFF2-40B4-BE49-F238E27FC236}">
              <a16:creationId xmlns:a16="http://schemas.microsoft.com/office/drawing/2014/main" id="{F0810C68-687D-1672-057F-C4B2EAA5559C}"/>
            </a:ext>
          </a:extLst>
        </xdr:cNvPr>
        <xdr:cNvSpPr/>
      </xdr:nvSpPr>
      <xdr:spPr>
        <a:xfrm>
          <a:off x="5428839" y="53512"/>
          <a:ext cx="1223666" cy="1092251"/>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492303</xdr:colOff>
      <xdr:row>0</xdr:row>
      <xdr:rowOff>53512</xdr:rowOff>
    </xdr:from>
    <xdr:to>
      <xdr:col>8</xdr:col>
      <xdr:colOff>497655</xdr:colOff>
      <xdr:row>6</xdr:row>
      <xdr:rowOff>16054</xdr:rowOff>
    </xdr:to>
    <xdr:sp macro="" textlink="">
      <xdr:nvSpPr>
        <xdr:cNvPr id="8" name="Rectangle 7">
          <a:extLst>
            <a:ext uri="{FF2B5EF4-FFF2-40B4-BE49-F238E27FC236}">
              <a16:creationId xmlns:a16="http://schemas.microsoft.com/office/drawing/2014/main" id="{571EB041-EB4E-B98C-940A-6DACF4160007}"/>
            </a:ext>
          </a:extLst>
        </xdr:cNvPr>
        <xdr:cNvSpPr/>
      </xdr:nvSpPr>
      <xdr:spPr>
        <a:xfrm>
          <a:off x="4152472" y="53512"/>
          <a:ext cx="1225408" cy="111838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58864</xdr:colOff>
      <xdr:row>2</xdr:row>
      <xdr:rowOff>90970</xdr:rowOff>
    </xdr:from>
    <xdr:to>
      <xdr:col>1</xdr:col>
      <xdr:colOff>80268</xdr:colOff>
      <xdr:row>12</xdr:row>
      <xdr:rowOff>117725</xdr:rowOff>
    </xdr:to>
    <xdr:sp macro="" textlink="">
      <xdr:nvSpPr>
        <xdr:cNvPr id="14" name="Rectangle: Rounded Corners 13">
          <a:extLst>
            <a:ext uri="{FF2B5EF4-FFF2-40B4-BE49-F238E27FC236}">
              <a16:creationId xmlns:a16="http://schemas.microsoft.com/office/drawing/2014/main" id="{5AD050E8-A812-8E3E-6526-B47FC7B20728}"/>
            </a:ext>
          </a:extLst>
        </xdr:cNvPr>
        <xdr:cNvSpPr/>
      </xdr:nvSpPr>
      <xdr:spPr>
        <a:xfrm>
          <a:off x="58864" y="476251"/>
          <a:ext cx="631432" cy="195315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u="sng"/>
        </a:p>
      </xdr:txBody>
    </xdr:sp>
    <xdr:clientData/>
  </xdr:twoCellAnchor>
  <xdr:twoCellAnchor>
    <xdr:from>
      <xdr:col>1</xdr:col>
      <xdr:colOff>153080</xdr:colOff>
      <xdr:row>2</xdr:row>
      <xdr:rowOff>73931</xdr:rowOff>
    </xdr:from>
    <xdr:to>
      <xdr:col>3</xdr:col>
      <xdr:colOff>11338</xdr:colOff>
      <xdr:row>5</xdr:row>
      <xdr:rowOff>170090</xdr:rowOff>
    </xdr:to>
    <xdr:sp macro="" textlink="">
      <xdr:nvSpPr>
        <xdr:cNvPr id="16" name="Rectangle: Rounded Corners 15">
          <a:extLst>
            <a:ext uri="{FF2B5EF4-FFF2-40B4-BE49-F238E27FC236}">
              <a16:creationId xmlns:a16="http://schemas.microsoft.com/office/drawing/2014/main" id="{807EF72F-1856-4107-86F3-402C0194C733}"/>
            </a:ext>
          </a:extLst>
        </xdr:cNvPr>
        <xdr:cNvSpPr/>
      </xdr:nvSpPr>
      <xdr:spPr>
        <a:xfrm>
          <a:off x="765401" y="459467"/>
          <a:ext cx="1082901" cy="67446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u="sng"/>
        </a:p>
      </xdr:txBody>
    </xdr:sp>
    <xdr:clientData/>
  </xdr:twoCellAnchor>
  <xdr:twoCellAnchor>
    <xdr:from>
      <xdr:col>3</xdr:col>
      <xdr:colOff>66928</xdr:colOff>
      <xdr:row>2</xdr:row>
      <xdr:rowOff>79150</xdr:rowOff>
    </xdr:from>
    <xdr:to>
      <xdr:col>4</xdr:col>
      <xdr:colOff>520037</xdr:colOff>
      <xdr:row>5</xdr:row>
      <xdr:rowOff>160411</xdr:rowOff>
    </xdr:to>
    <xdr:sp macro="" textlink="">
      <xdr:nvSpPr>
        <xdr:cNvPr id="17" name="Rectangle: Rounded Corners 16">
          <a:extLst>
            <a:ext uri="{FF2B5EF4-FFF2-40B4-BE49-F238E27FC236}">
              <a16:creationId xmlns:a16="http://schemas.microsoft.com/office/drawing/2014/main" id="{DE059B3A-06C2-3140-A0D9-0FE7016ABB4E}"/>
            </a:ext>
          </a:extLst>
        </xdr:cNvPr>
        <xdr:cNvSpPr/>
      </xdr:nvSpPr>
      <xdr:spPr>
        <a:xfrm>
          <a:off x="1894399" y="455720"/>
          <a:ext cx="1062266" cy="64611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u="sng"/>
        </a:p>
      </xdr:txBody>
    </xdr:sp>
    <xdr:clientData/>
  </xdr:twoCellAnchor>
  <xdr:twoCellAnchor>
    <xdr:from>
      <xdr:col>4</xdr:col>
      <xdr:colOff>590173</xdr:colOff>
      <xdr:row>2</xdr:row>
      <xdr:rowOff>101302</xdr:rowOff>
    </xdr:from>
    <xdr:to>
      <xdr:col>6</xdr:col>
      <xdr:colOff>433253</xdr:colOff>
      <xdr:row>5</xdr:row>
      <xdr:rowOff>143984</xdr:rowOff>
    </xdr:to>
    <xdr:sp macro="" textlink="">
      <xdr:nvSpPr>
        <xdr:cNvPr id="20" name="Rectangle: Rounded Corners 19">
          <a:extLst>
            <a:ext uri="{FF2B5EF4-FFF2-40B4-BE49-F238E27FC236}">
              <a16:creationId xmlns:a16="http://schemas.microsoft.com/office/drawing/2014/main" id="{009D1699-0E32-DBA6-8261-EEBB0340E11F}"/>
            </a:ext>
          </a:extLst>
        </xdr:cNvPr>
        <xdr:cNvSpPr/>
      </xdr:nvSpPr>
      <xdr:spPr>
        <a:xfrm>
          <a:off x="3026801" y="477872"/>
          <a:ext cx="1061394" cy="60753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u="sng"/>
        </a:p>
      </xdr:txBody>
    </xdr:sp>
    <xdr:clientData/>
  </xdr:twoCellAnchor>
  <xdr:twoCellAnchor>
    <xdr:from>
      <xdr:col>1</xdr:col>
      <xdr:colOff>155181</xdr:colOff>
      <xdr:row>8</xdr:row>
      <xdr:rowOff>58861</xdr:rowOff>
    </xdr:from>
    <xdr:to>
      <xdr:col>6</xdr:col>
      <xdr:colOff>433442</xdr:colOff>
      <xdr:row>12</xdr:row>
      <xdr:rowOff>101672</xdr:rowOff>
    </xdr:to>
    <xdr:sp macro="" textlink="">
      <xdr:nvSpPr>
        <xdr:cNvPr id="22" name="Rectangle: Rounded Corners 21">
          <a:extLst>
            <a:ext uri="{FF2B5EF4-FFF2-40B4-BE49-F238E27FC236}">
              <a16:creationId xmlns:a16="http://schemas.microsoft.com/office/drawing/2014/main" id="{CBA41ABA-E4B7-CDF0-69E4-A08B75E96262}"/>
            </a:ext>
          </a:extLst>
        </xdr:cNvPr>
        <xdr:cNvSpPr/>
      </xdr:nvSpPr>
      <xdr:spPr>
        <a:xfrm>
          <a:off x="765209" y="1599985"/>
          <a:ext cx="3328402" cy="81337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u="sng"/>
        </a:p>
      </xdr:txBody>
    </xdr:sp>
    <xdr:clientData/>
  </xdr:twoCellAnchor>
  <xdr:twoCellAnchor>
    <xdr:from>
      <xdr:col>1</xdr:col>
      <xdr:colOff>165884</xdr:colOff>
      <xdr:row>6</xdr:row>
      <xdr:rowOff>11076</xdr:rowOff>
    </xdr:from>
    <xdr:to>
      <xdr:col>6</xdr:col>
      <xdr:colOff>428089</xdr:colOff>
      <xdr:row>8</xdr:row>
      <xdr:rowOff>0</xdr:rowOff>
    </xdr:to>
    <xdr:sp macro="" textlink="">
      <xdr:nvSpPr>
        <xdr:cNvPr id="23" name="Rectangle: Rounded Corners 22">
          <a:extLst>
            <a:ext uri="{FF2B5EF4-FFF2-40B4-BE49-F238E27FC236}">
              <a16:creationId xmlns:a16="http://schemas.microsoft.com/office/drawing/2014/main" id="{FB8C1E71-24D8-915D-1742-44077B55502A}"/>
            </a:ext>
          </a:extLst>
        </xdr:cNvPr>
        <xdr:cNvSpPr/>
      </xdr:nvSpPr>
      <xdr:spPr>
        <a:xfrm>
          <a:off x="775041" y="1140785"/>
          <a:ext cx="3307990" cy="36549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u="sng"/>
        </a:p>
      </xdr:txBody>
    </xdr:sp>
    <xdr:clientData/>
  </xdr:twoCellAnchor>
  <xdr:twoCellAnchor>
    <xdr:from>
      <xdr:col>6</xdr:col>
      <xdr:colOff>492304</xdr:colOff>
      <xdr:row>6</xdr:row>
      <xdr:rowOff>69376</xdr:rowOff>
    </xdr:from>
    <xdr:to>
      <xdr:col>10</xdr:col>
      <xdr:colOff>572542</xdr:colOff>
      <xdr:row>12</xdr:row>
      <xdr:rowOff>85982</xdr:rowOff>
    </xdr:to>
    <xdr:sp macro="" textlink="">
      <xdr:nvSpPr>
        <xdr:cNvPr id="28" name="Rectangle 27">
          <a:extLst>
            <a:ext uri="{FF2B5EF4-FFF2-40B4-BE49-F238E27FC236}">
              <a16:creationId xmlns:a16="http://schemas.microsoft.com/office/drawing/2014/main" id="{957918EB-792E-4B79-8229-EE0C7BC78687}"/>
            </a:ext>
          </a:extLst>
        </xdr:cNvPr>
        <xdr:cNvSpPr/>
      </xdr:nvSpPr>
      <xdr:spPr>
        <a:xfrm>
          <a:off x="4146156" y="1224868"/>
          <a:ext cx="2516140" cy="117209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564855</xdr:colOff>
      <xdr:row>0</xdr:row>
      <xdr:rowOff>49839</xdr:rowOff>
    </xdr:from>
    <xdr:to>
      <xdr:col>5</xdr:col>
      <xdr:colOff>60915</xdr:colOff>
      <xdr:row>1</xdr:row>
      <xdr:rowOff>44303</xdr:rowOff>
    </xdr:to>
    <xdr:sp macro="" textlink="">
      <xdr:nvSpPr>
        <xdr:cNvPr id="29" name="TextBox 28">
          <a:extLst>
            <a:ext uri="{FF2B5EF4-FFF2-40B4-BE49-F238E27FC236}">
              <a16:creationId xmlns:a16="http://schemas.microsoft.com/office/drawing/2014/main" id="{61D73688-B013-E9EF-8AA3-DAB4915CC365}"/>
            </a:ext>
          </a:extLst>
        </xdr:cNvPr>
        <xdr:cNvSpPr txBox="1"/>
      </xdr:nvSpPr>
      <xdr:spPr>
        <a:xfrm>
          <a:off x="564855" y="49839"/>
          <a:ext cx="2541845" cy="182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a:latin typeface="Aptos" panose="020B0004020202020204" pitchFamily="34" charset="0"/>
            </a:rPr>
            <a:t>Hospital</a:t>
          </a:r>
          <a:r>
            <a:rPr lang="en-IN" sz="1100" b="1" baseline="0">
              <a:latin typeface="Aptos" panose="020B0004020202020204" pitchFamily="34" charset="0"/>
            </a:rPr>
            <a:t> Emergency Room Dashboard</a:t>
          </a:r>
          <a:endParaRPr lang="en-IN" sz="1100" b="1">
            <a:latin typeface="Aptos" panose="020B0004020202020204" pitchFamily="34" charset="0"/>
          </a:endParaRPr>
        </a:p>
      </xdr:txBody>
    </xdr:sp>
    <xdr:clientData/>
  </xdr:twoCellAnchor>
  <xdr:twoCellAnchor editAs="oneCell">
    <xdr:from>
      <xdr:col>0</xdr:col>
      <xdr:colOff>49840</xdr:colOff>
      <xdr:row>0</xdr:row>
      <xdr:rowOff>38764</xdr:rowOff>
    </xdr:from>
    <xdr:to>
      <xdr:col>1</xdr:col>
      <xdr:colOff>66453</xdr:colOff>
      <xdr:row>2</xdr:row>
      <xdr:rowOff>44302</xdr:rowOff>
    </xdr:to>
    <xdr:pic>
      <xdr:nvPicPr>
        <xdr:cNvPr id="31" name="Picture 30">
          <a:extLst>
            <a:ext uri="{FF2B5EF4-FFF2-40B4-BE49-F238E27FC236}">
              <a16:creationId xmlns:a16="http://schemas.microsoft.com/office/drawing/2014/main" id="{65533E60-F838-B2C1-4269-1753EA91B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840" y="38764"/>
          <a:ext cx="625770" cy="382108"/>
        </a:xfrm>
        <a:prstGeom prst="rect">
          <a:avLst/>
        </a:prstGeom>
      </xdr:spPr>
    </xdr:pic>
    <xdr:clientData/>
  </xdr:twoCellAnchor>
  <xdr:twoCellAnchor>
    <xdr:from>
      <xdr:col>2</xdr:col>
      <xdr:colOff>160597</xdr:colOff>
      <xdr:row>1</xdr:row>
      <xdr:rowOff>55377</xdr:rowOff>
    </xdr:from>
    <xdr:to>
      <xdr:col>3</xdr:col>
      <xdr:colOff>387646</xdr:colOff>
      <xdr:row>2</xdr:row>
      <xdr:rowOff>16613</xdr:rowOff>
    </xdr:to>
    <xdr:sp macro="" textlink="">
      <xdr:nvSpPr>
        <xdr:cNvPr id="35" name="TextBox 34">
          <a:extLst>
            <a:ext uri="{FF2B5EF4-FFF2-40B4-BE49-F238E27FC236}">
              <a16:creationId xmlns:a16="http://schemas.microsoft.com/office/drawing/2014/main" id="{8498203F-5AA6-2F83-E9C9-BB4E8BB2713A}"/>
            </a:ext>
          </a:extLst>
        </xdr:cNvPr>
        <xdr:cNvSpPr txBox="1"/>
      </xdr:nvSpPr>
      <xdr:spPr>
        <a:xfrm>
          <a:off x="1378911" y="243662"/>
          <a:ext cx="836206" cy="149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latin typeface="Aptos" panose="020B0004020202020204" pitchFamily="34" charset="0"/>
            </a:rPr>
            <a:t>Monthly</a:t>
          </a:r>
          <a:r>
            <a:rPr lang="en-IN" sz="900" b="0" baseline="0">
              <a:latin typeface="Aptos" panose="020B0004020202020204" pitchFamily="34" charset="0"/>
            </a:rPr>
            <a:t> Report</a:t>
          </a:r>
          <a:endParaRPr lang="en-IN" sz="900" b="0">
            <a:latin typeface="Aptos" panose="020B0004020202020204" pitchFamily="34" charset="0"/>
          </a:endParaRPr>
        </a:p>
      </xdr:txBody>
    </xdr:sp>
    <xdr:clientData/>
  </xdr:twoCellAnchor>
  <xdr:twoCellAnchor>
    <xdr:from>
      <xdr:col>1</xdr:col>
      <xdr:colOff>149520</xdr:colOff>
      <xdr:row>3</xdr:row>
      <xdr:rowOff>127368</xdr:rowOff>
    </xdr:from>
    <xdr:to>
      <xdr:col>2</xdr:col>
      <xdr:colOff>376569</xdr:colOff>
      <xdr:row>4</xdr:row>
      <xdr:rowOff>88604</xdr:rowOff>
    </xdr:to>
    <xdr:sp macro="" textlink="">
      <xdr:nvSpPr>
        <xdr:cNvPr id="36" name="TextBox 35">
          <a:extLst>
            <a:ext uri="{FF2B5EF4-FFF2-40B4-BE49-F238E27FC236}">
              <a16:creationId xmlns:a16="http://schemas.microsoft.com/office/drawing/2014/main" id="{9DCDB77B-ECE1-9654-D089-BC119D140CA2}"/>
            </a:ext>
          </a:extLst>
        </xdr:cNvPr>
        <xdr:cNvSpPr txBox="1"/>
      </xdr:nvSpPr>
      <xdr:spPr>
        <a:xfrm>
          <a:off x="758677" y="692223"/>
          <a:ext cx="836206" cy="149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latin typeface="Aptos" panose="020B0004020202020204" pitchFamily="34" charset="0"/>
            </a:rPr>
            <a:t>No</a:t>
          </a:r>
          <a:r>
            <a:rPr lang="en-IN" sz="900" b="0" baseline="0">
              <a:latin typeface="Aptos" panose="020B0004020202020204" pitchFamily="34" charset="0"/>
            </a:rPr>
            <a:t> </a:t>
          </a:r>
          <a:r>
            <a:rPr lang="en-IN" sz="800" b="0" baseline="0">
              <a:latin typeface="Aptos" panose="020B0004020202020204" pitchFamily="34" charset="0"/>
            </a:rPr>
            <a:t>of</a:t>
          </a:r>
          <a:r>
            <a:rPr lang="en-IN" sz="900" b="0" baseline="0">
              <a:latin typeface="Aptos" panose="020B0004020202020204" pitchFamily="34" charset="0"/>
            </a:rPr>
            <a:t> </a:t>
          </a:r>
          <a:r>
            <a:rPr lang="en-IN" sz="700" b="0" baseline="0">
              <a:latin typeface="Aptos" panose="020B0004020202020204" pitchFamily="34" charset="0"/>
            </a:rPr>
            <a:t>Patient</a:t>
          </a:r>
          <a:endParaRPr lang="en-IN" sz="900" b="0" baseline="0">
            <a:latin typeface="Aptos" panose="020B0004020202020204" pitchFamily="34" charset="0"/>
          </a:endParaRPr>
        </a:p>
      </xdr:txBody>
    </xdr:sp>
    <xdr:clientData/>
  </xdr:twoCellAnchor>
  <xdr:twoCellAnchor>
    <xdr:from>
      <xdr:col>1</xdr:col>
      <xdr:colOff>227050</xdr:colOff>
      <xdr:row>2</xdr:row>
      <xdr:rowOff>177209</xdr:rowOff>
    </xdr:from>
    <xdr:to>
      <xdr:col>2</xdr:col>
      <xdr:colOff>27689</xdr:colOff>
      <xdr:row>3</xdr:row>
      <xdr:rowOff>138445</xdr:rowOff>
    </xdr:to>
    <xdr:sp macro="" textlink="'Pivot Table'!A4">
      <xdr:nvSpPr>
        <xdr:cNvPr id="39" name="TextBox 38">
          <a:extLst>
            <a:ext uri="{FF2B5EF4-FFF2-40B4-BE49-F238E27FC236}">
              <a16:creationId xmlns:a16="http://schemas.microsoft.com/office/drawing/2014/main" id="{D4211279-782E-9AE8-EEA8-02559A95793D}"/>
            </a:ext>
          </a:extLst>
        </xdr:cNvPr>
        <xdr:cNvSpPr txBox="1"/>
      </xdr:nvSpPr>
      <xdr:spPr>
        <a:xfrm>
          <a:off x="836207" y="553779"/>
          <a:ext cx="409796" cy="149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10DFA66-7474-44BC-8586-CF6020DBF72F}" type="TxLink">
            <a:rPr lang="en-US" sz="1000" b="1" i="0" u="none" strike="noStrike">
              <a:solidFill>
                <a:srgbClr val="000000"/>
              </a:solidFill>
              <a:latin typeface="Calibri"/>
              <a:ea typeface="Calibri"/>
              <a:cs typeface="Calibri"/>
            </a:rPr>
            <a:pPr algn="ctr"/>
            <a:t>991</a:t>
          </a:fld>
          <a:endParaRPr lang="en-IN" sz="700" b="1">
            <a:latin typeface="Aptos" panose="020B0004020202020204" pitchFamily="34" charset="0"/>
          </a:endParaRPr>
        </a:p>
      </xdr:txBody>
    </xdr:sp>
    <xdr:clientData/>
  </xdr:twoCellAnchor>
  <xdr:twoCellAnchor>
    <xdr:from>
      <xdr:col>3</xdr:col>
      <xdr:colOff>105218</xdr:colOff>
      <xdr:row>3</xdr:row>
      <xdr:rowOff>121831</xdr:rowOff>
    </xdr:from>
    <xdr:to>
      <xdr:col>4</xdr:col>
      <xdr:colOff>492863</xdr:colOff>
      <xdr:row>4</xdr:row>
      <xdr:rowOff>83067</xdr:rowOff>
    </xdr:to>
    <xdr:sp macro="" textlink="">
      <xdr:nvSpPr>
        <xdr:cNvPr id="40" name="TextBox 39">
          <a:extLst>
            <a:ext uri="{FF2B5EF4-FFF2-40B4-BE49-F238E27FC236}">
              <a16:creationId xmlns:a16="http://schemas.microsoft.com/office/drawing/2014/main" id="{C0DDFC7D-6A21-B7F9-18C9-763635270A5A}"/>
            </a:ext>
          </a:extLst>
        </xdr:cNvPr>
        <xdr:cNvSpPr txBox="1"/>
      </xdr:nvSpPr>
      <xdr:spPr>
        <a:xfrm>
          <a:off x="1932689" y="686686"/>
          <a:ext cx="996802" cy="149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0" baseline="0">
              <a:latin typeface="Aptos" panose="020B0004020202020204" pitchFamily="34" charset="0"/>
            </a:rPr>
            <a:t>Average Wait Time</a:t>
          </a:r>
        </a:p>
      </xdr:txBody>
    </xdr:sp>
    <xdr:clientData/>
  </xdr:twoCellAnchor>
  <xdr:twoCellAnchor>
    <xdr:from>
      <xdr:col>3</xdr:col>
      <xdr:colOff>55378</xdr:colOff>
      <xdr:row>2</xdr:row>
      <xdr:rowOff>160595</xdr:rowOff>
    </xdr:from>
    <xdr:to>
      <xdr:col>4</xdr:col>
      <xdr:colOff>99679</xdr:colOff>
      <xdr:row>3</xdr:row>
      <xdr:rowOff>121831</xdr:rowOff>
    </xdr:to>
    <xdr:sp macro="" textlink="'Pivot Table'!A7">
      <xdr:nvSpPr>
        <xdr:cNvPr id="41" name="TextBox 40">
          <a:extLst>
            <a:ext uri="{FF2B5EF4-FFF2-40B4-BE49-F238E27FC236}">
              <a16:creationId xmlns:a16="http://schemas.microsoft.com/office/drawing/2014/main" id="{3E9E2F97-860F-4244-54C1-AA6F6E90A28A}"/>
            </a:ext>
          </a:extLst>
        </xdr:cNvPr>
        <xdr:cNvSpPr txBox="1"/>
      </xdr:nvSpPr>
      <xdr:spPr>
        <a:xfrm>
          <a:off x="1882849" y="537165"/>
          <a:ext cx="653458" cy="149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E0354E2-F66B-4719-844F-2A05E7C7A79B}" type="TxLink">
            <a:rPr lang="en-US" sz="1000" b="1" i="0" u="none" strike="noStrike">
              <a:solidFill>
                <a:srgbClr val="000000"/>
              </a:solidFill>
              <a:latin typeface="Calibri"/>
              <a:ea typeface="Calibri"/>
              <a:cs typeface="Calibri"/>
            </a:rPr>
            <a:pPr algn="ctr"/>
            <a:t>35.54</a:t>
          </a:fld>
          <a:endParaRPr lang="en-IN" sz="700" b="1">
            <a:latin typeface="Aptos" panose="020B0004020202020204" pitchFamily="34" charset="0"/>
          </a:endParaRPr>
        </a:p>
      </xdr:txBody>
    </xdr:sp>
    <xdr:clientData/>
  </xdr:twoCellAnchor>
  <xdr:twoCellAnchor>
    <xdr:from>
      <xdr:col>4</xdr:col>
      <xdr:colOff>581469</xdr:colOff>
      <xdr:row>3</xdr:row>
      <xdr:rowOff>116293</xdr:rowOff>
    </xdr:from>
    <xdr:to>
      <xdr:col>6</xdr:col>
      <xdr:colOff>420873</xdr:colOff>
      <xdr:row>4</xdr:row>
      <xdr:rowOff>94142</xdr:rowOff>
    </xdr:to>
    <xdr:sp macro="" textlink="">
      <xdr:nvSpPr>
        <xdr:cNvPr id="42" name="TextBox 41">
          <a:extLst>
            <a:ext uri="{FF2B5EF4-FFF2-40B4-BE49-F238E27FC236}">
              <a16:creationId xmlns:a16="http://schemas.microsoft.com/office/drawing/2014/main" id="{9644415F-70EC-19E2-ED91-6473A1765DAF}"/>
            </a:ext>
          </a:extLst>
        </xdr:cNvPr>
        <xdr:cNvSpPr txBox="1"/>
      </xdr:nvSpPr>
      <xdr:spPr>
        <a:xfrm>
          <a:off x="3018097" y="681148"/>
          <a:ext cx="1057718" cy="166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0" baseline="0">
              <a:latin typeface="Aptos" panose="020B0004020202020204" pitchFamily="34" charset="0"/>
            </a:rPr>
            <a:t>Patient Satisfaction Score</a:t>
          </a:r>
        </a:p>
      </xdr:txBody>
    </xdr:sp>
    <xdr:clientData/>
  </xdr:twoCellAnchor>
  <xdr:twoCellAnchor>
    <xdr:from>
      <xdr:col>4</xdr:col>
      <xdr:colOff>559974</xdr:colOff>
      <xdr:row>2</xdr:row>
      <xdr:rowOff>154531</xdr:rowOff>
    </xdr:from>
    <xdr:to>
      <xdr:col>5</xdr:col>
      <xdr:colOff>399378</xdr:colOff>
      <xdr:row>3</xdr:row>
      <xdr:rowOff>115767</xdr:rowOff>
    </xdr:to>
    <xdr:sp macro="" textlink="'Pivot Table'!A11">
      <xdr:nvSpPr>
        <xdr:cNvPr id="43" name="TextBox 42">
          <a:extLst>
            <a:ext uri="{FF2B5EF4-FFF2-40B4-BE49-F238E27FC236}">
              <a16:creationId xmlns:a16="http://schemas.microsoft.com/office/drawing/2014/main" id="{94411B4E-0382-248A-0779-8DAE96A888D2}"/>
            </a:ext>
          </a:extLst>
        </xdr:cNvPr>
        <xdr:cNvSpPr txBox="1"/>
      </xdr:nvSpPr>
      <xdr:spPr>
        <a:xfrm>
          <a:off x="3009260" y="540067"/>
          <a:ext cx="451725" cy="154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69D4B68-FE49-477D-8B59-A998AE3E8B1C}" type="TxLink">
            <a:rPr lang="en-US" sz="1000" b="1" i="0" u="none" strike="noStrike">
              <a:solidFill>
                <a:srgbClr val="000000"/>
              </a:solidFill>
              <a:latin typeface="Calibri"/>
              <a:ea typeface="Calibri"/>
              <a:cs typeface="Calibri"/>
            </a:rPr>
            <a:pPr algn="ctr"/>
            <a:t>4.95</a:t>
          </a:fld>
          <a:endParaRPr lang="en-IN" sz="700" b="1">
            <a:latin typeface="Aptos" panose="020B0004020202020204" pitchFamily="34" charset="0"/>
          </a:endParaRPr>
        </a:p>
      </xdr:txBody>
    </xdr:sp>
    <xdr:clientData/>
  </xdr:twoCellAnchor>
  <xdr:twoCellAnchor editAs="oneCell">
    <xdr:from>
      <xdr:col>5</xdr:col>
      <xdr:colOff>592545</xdr:colOff>
      <xdr:row>2</xdr:row>
      <xdr:rowOff>105220</xdr:rowOff>
    </xdr:from>
    <xdr:to>
      <xdr:col>6</xdr:col>
      <xdr:colOff>215974</xdr:colOff>
      <xdr:row>3</xdr:row>
      <xdr:rowOff>149521</xdr:rowOff>
    </xdr:to>
    <xdr:pic>
      <xdr:nvPicPr>
        <xdr:cNvPr id="45" name="Graphic 44" descr="Customer review with solid fill">
          <a:extLst>
            <a:ext uri="{FF2B5EF4-FFF2-40B4-BE49-F238E27FC236}">
              <a16:creationId xmlns:a16="http://schemas.microsoft.com/office/drawing/2014/main" id="{F8ACFFB5-C8F9-BC89-5B5A-F480884F44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38330" y="481790"/>
          <a:ext cx="232586" cy="232586"/>
        </a:xfrm>
        <a:prstGeom prst="rect">
          <a:avLst/>
        </a:prstGeom>
      </xdr:spPr>
    </xdr:pic>
    <xdr:clientData/>
  </xdr:twoCellAnchor>
  <xdr:twoCellAnchor editAs="oneCell">
    <xdr:from>
      <xdr:col>4</xdr:col>
      <xdr:colOff>50319</xdr:colOff>
      <xdr:row>2</xdr:row>
      <xdr:rowOff>122313</xdr:rowOff>
    </xdr:from>
    <xdr:to>
      <xdr:col>4</xdr:col>
      <xdr:colOff>249199</xdr:colOff>
      <xdr:row>3</xdr:row>
      <xdr:rowOff>132908</xdr:rowOff>
    </xdr:to>
    <xdr:pic>
      <xdr:nvPicPr>
        <xdr:cNvPr id="47" name="Graphic 46" descr="Hourglass Finished with solid fill">
          <a:extLst>
            <a:ext uri="{FF2B5EF4-FFF2-40B4-BE49-F238E27FC236}">
              <a16:creationId xmlns:a16="http://schemas.microsoft.com/office/drawing/2014/main" id="{ACAE611E-7C25-D763-C688-3363209DD3B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86947" y="498883"/>
          <a:ext cx="198880" cy="198880"/>
        </a:xfrm>
        <a:prstGeom prst="rect">
          <a:avLst/>
        </a:prstGeom>
      </xdr:spPr>
    </xdr:pic>
    <xdr:clientData/>
  </xdr:twoCellAnchor>
  <xdr:twoCellAnchor editAs="oneCell">
    <xdr:from>
      <xdr:col>1</xdr:col>
      <xdr:colOff>590077</xdr:colOff>
      <xdr:row>2</xdr:row>
      <xdr:rowOff>89962</xdr:rowOff>
    </xdr:from>
    <xdr:to>
      <xdr:col>2</xdr:col>
      <xdr:colOff>248147</xdr:colOff>
      <xdr:row>3</xdr:row>
      <xdr:rowOff>172069</xdr:rowOff>
    </xdr:to>
    <xdr:pic>
      <xdr:nvPicPr>
        <xdr:cNvPr id="49" name="Graphic 48" descr="User with solid fill">
          <a:extLst>
            <a:ext uri="{FF2B5EF4-FFF2-40B4-BE49-F238E27FC236}">
              <a16:creationId xmlns:a16="http://schemas.microsoft.com/office/drawing/2014/main" id="{BE0925F2-2FD6-4D31-114B-6DDA48329C7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02398" y="475498"/>
          <a:ext cx="270392" cy="274875"/>
        </a:xfrm>
        <a:prstGeom prst="rect">
          <a:avLst/>
        </a:prstGeom>
      </xdr:spPr>
    </xdr:pic>
    <xdr:clientData/>
  </xdr:twoCellAnchor>
  <xdr:twoCellAnchor editAs="oneCell">
    <xdr:from>
      <xdr:col>0</xdr:col>
      <xdr:colOff>85045</xdr:colOff>
      <xdr:row>2</xdr:row>
      <xdr:rowOff>99172</xdr:rowOff>
    </xdr:from>
    <xdr:to>
      <xdr:col>1</xdr:col>
      <xdr:colOff>51027</xdr:colOff>
      <xdr:row>12</xdr:row>
      <xdr:rowOff>111958</xdr:rowOff>
    </xdr:to>
    <mc:AlternateContent xmlns:mc="http://schemas.openxmlformats.org/markup-compatibility/2006" xmlns:a14="http://schemas.microsoft.com/office/drawing/2010/main">
      <mc:Choice Requires="a14">
        <xdr:graphicFrame macro="">
          <xdr:nvGraphicFramePr>
            <xdr:cNvPr id="50" name="Column1 (Month) 1">
              <a:extLst>
                <a:ext uri="{FF2B5EF4-FFF2-40B4-BE49-F238E27FC236}">
                  <a16:creationId xmlns:a16="http://schemas.microsoft.com/office/drawing/2014/main" id="{DCAD68B0-B23B-4365-8DEC-743A1E1D4D94}"/>
                </a:ext>
              </a:extLst>
            </xdr:cNvPr>
            <xdr:cNvGraphicFramePr/>
          </xdr:nvGraphicFramePr>
          <xdr:xfrm>
            <a:off x="0" y="0"/>
            <a:ext cx="0" cy="0"/>
          </xdr:xfrm>
          <a:graphic>
            <a:graphicData uri="http://schemas.microsoft.com/office/drawing/2010/slicer">
              <sle:slicer xmlns:sle="http://schemas.microsoft.com/office/drawing/2010/slicer" name="Column1 (Month) 1"/>
            </a:graphicData>
          </a:graphic>
        </xdr:graphicFrame>
      </mc:Choice>
      <mc:Fallback xmlns="">
        <xdr:sp macro="" textlink="">
          <xdr:nvSpPr>
            <xdr:cNvPr id="0" name=""/>
            <xdr:cNvSpPr>
              <a:spLocks noTextEdit="1"/>
            </xdr:cNvSpPr>
          </xdr:nvSpPr>
          <xdr:spPr>
            <a:xfrm>
              <a:off x="85045" y="484336"/>
              <a:ext cx="574957" cy="1938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147412</xdr:colOff>
      <xdr:row>4</xdr:row>
      <xdr:rowOff>42479</xdr:rowOff>
    </xdr:from>
    <xdr:to>
      <xdr:col>3</xdr:col>
      <xdr:colOff>11341</xdr:colOff>
      <xdr:row>6</xdr:row>
      <xdr:rowOff>85045</xdr:rowOff>
    </xdr:to>
    <xdr:graphicFrame macro="">
      <xdr:nvGraphicFramePr>
        <xdr:cNvPr id="51" name="Chart 50">
          <a:hlinkClick xmlns:r="http://schemas.openxmlformats.org/officeDocument/2006/relationships" r:id="rId8"/>
          <a:extLst>
            <a:ext uri="{FF2B5EF4-FFF2-40B4-BE49-F238E27FC236}">
              <a16:creationId xmlns:a16="http://schemas.microsoft.com/office/drawing/2014/main" id="{B2BB4195-17E3-4B46-990E-082CAF8A9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11339</xdr:colOff>
      <xdr:row>3</xdr:row>
      <xdr:rowOff>113393</xdr:rowOff>
    </xdr:from>
    <xdr:to>
      <xdr:col>4</xdr:col>
      <xdr:colOff>589643</xdr:colOff>
      <xdr:row>6</xdr:row>
      <xdr:rowOff>68035</xdr:rowOff>
    </xdr:to>
    <xdr:graphicFrame macro="">
      <xdr:nvGraphicFramePr>
        <xdr:cNvPr id="52" name="Chart 51">
          <a:hlinkClick xmlns:r="http://schemas.openxmlformats.org/officeDocument/2006/relationships" r:id="rId10"/>
          <a:extLst>
            <a:ext uri="{FF2B5EF4-FFF2-40B4-BE49-F238E27FC236}">
              <a16:creationId xmlns:a16="http://schemas.microsoft.com/office/drawing/2014/main" id="{2F5A6E53-92D9-4436-9359-5236788C4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450638</xdr:colOff>
      <xdr:row>3</xdr:row>
      <xdr:rowOff>85043</xdr:rowOff>
    </xdr:from>
    <xdr:to>
      <xdr:col>6</xdr:col>
      <xdr:colOff>583973</xdr:colOff>
      <xdr:row>6</xdr:row>
      <xdr:rowOff>113393</xdr:rowOff>
    </xdr:to>
    <xdr:graphicFrame macro="">
      <xdr:nvGraphicFramePr>
        <xdr:cNvPr id="53" name="Chart 52">
          <a:extLst>
            <a:ext uri="{FF2B5EF4-FFF2-40B4-BE49-F238E27FC236}">
              <a16:creationId xmlns:a16="http://schemas.microsoft.com/office/drawing/2014/main" id="{6A170BF2-1102-4A4F-BE7E-BAA9F1673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153082</xdr:colOff>
          <xdr:row>6</xdr:row>
          <xdr:rowOff>17009</xdr:rowOff>
        </xdr:from>
        <xdr:to>
          <xdr:col>6</xdr:col>
          <xdr:colOff>430892</xdr:colOff>
          <xdr:row>7</xdr:row>
          <xdr:rowOff>175760</xdr:rowOff>
        </xdr:to>
        <xdr:pic>
          <xdr:nvPicPr>
            <xdr:cNvPr id="13" name="Picture 12">
              <a:extLst>
                <a:ext uri="{FF2B5EF4-FFF2-40B4-BE49-F238E27FC236}">
                  <a16:creationId xmlns:a16="http://schemas.microsoft.com/office/drawing/2014/main" id="{65FBD577-1F5F-BA0B-385C-79C7D717E766}"/>
                </a:ext>
              </a:extLst>
            </xdr:cNvPr>
            <xdr:cNvPicPr>
              <a:picLocks noChangeAspect="1" noChangeArrowheads="1"/>
              <a:extLst>
                <a:ext uri="{84589F7E-364E-4C9E-8A38-B11213B215E9}">
                  <a14:cameraTool cellRange="'Pivot Table'!$A$50:$D$52" spid="_x0000_s1043"/>
                </a:ext>
              </a:extLst>
            </xdr:cNvPicPr>
          </xdr:nvPicPr>
          <xdr:blipFill>
            <a:blip xmlns:r="http://schemas.openxmlformats.org/officeDocument/2006/relationships" r:embed="rId13"/>
            <a:srcRect/>
            <a:stretch>
              <a:fillRect/>
            </a:stretch>
          </xdr:blipFill>
          <xdr:spPr bwMode="auto">
            <a:xfrm>
              <a:off x="765403" y="1173616"/>
              <a:ext cx="3339418" cy="35151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204108</xdr:colOff>
      <xdr:row>8</xdr:row>
      <xdr:rowOff>90713</xdr:rowOff>
    </xdr:from>
    <xdr:to>
      <xdr:col>6</xdr:col>
      <xdr:colOff>385536</xdr:colOff>
      <xdr:row>12</xdr:row>
      <xdr:rowOff>90715</xdr:rowOff>
    </xdr:to>
    <xdr:graphicFrame macro="">
      <xdr:nvGraphicFramePr>
        <xdr:cNvPr id="15" name="Chart 14">
          <a:extLst>
            <a:ext uri="{FF2B5EF4-FFF2-40B4-BE49-F238E27FC236}">
              <a16:creationId xmlns:a16="http://schemas.microsoft.com/office/drawing/2014/main" id="{05823BD9-B46A-4715-905D-4EE0CC5FC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160597</xdr:colOff>
      <xdr:row>11</xdr:row>
      <xdr:rowOff>146092</xdr:rowOff>
    </xdr:from>
    <xdr:to>
      <xdr:col>5</xdr:col>
      <xdr:colOff>39688</xdr:colOff>
      <xdr:row>12</xdr:row>
      <xdr:rowOff>62366</xdr:rowOff>
    </xdr:to>
    <xdr:sp macro="" textlink="">
      <xdr:nvSpPr>
        <xdr:cNvPr id="18" name="TextBox 17">
          <a:extLst>
            <a:ext uri="{FF2B5EF4-FFF2-40B4-BE49-F238E27FC236}">
              <a16:creationId xmlns:a16="http://schemas.microsoft.com/office/drawing/2014/main" id="{0F2A9559-B5F6-FAA0-A14E-11AB409BA4C5}"/>
            </a:ext>
          </a:extLst>
        </xdr:cNvPr>
        <xdr:cNvSpPr txBox="1"/>
      </xdr:nvSpPr>
      <xdr:spPr>
        <a:xfrm>
          <a:off x="1385240" y="2266538"/>
          <a:ext cx="1716055" cy="109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0">
              <a:latin typeface="Aptos" panose="020B0004020202020204" pitchFamily="34" charset="0"/>
            </a:rPr>
            <a:t>No</a:t>
          </a:r>
          <a:r>
            <a:rPr lang="en-IN" sz="600" b="0" baseline="0">
              <a:latin typeface="Aptos" panose="020B0004020202020204" pitchFamily="34" charset="0"/>
            </a:rPr>
            <a:t> of Patient By age Group</a:t>
          </a:r>
          <a:endParaRPr lang="en-IN" sz="600" b="0">
            <a:latin typeface="Aptos" panose="020B0004020202020204" pitchFamily="34" charset="0"/>
          </a:endParaRPr>
        </a:p>
      </xdr:txBody>
    </xdr:sp>
    <xdr:clientData/>
  </xdr:twoCellAnchor>
  <xdr:twoCellAnchor>
    <xdr:from>
      <xdr:col>6</xdr:col>
      <xdr:colOff>532948</xdr:colOff>
      <xdr:row>0</xdr:row>
      <xdr:rowOff>1</xdr:rowOff>
    </xdr:from>
    <xdr:to>
      <xdr:col>9</xdr:col>
      <xdr:colOff>280148</xdr:colOff>
      <xdr:row>6</xdr:row>
      <xdr:rowOff>112059</xdr:rowOff>
    </xdr:to>
    <xdr:graphicFrame macro="">
      <xdr:nvGraphicFramePr>
        <xdr:cNvPr id="19" name="Chart 18">
          <a:extLst>
            <a:ext uri="{FF2B5EF4-FFF2-40B4-BE49-F238E27FC236}">
              <a16:creationId xmlns:a16="http://schemas.microsoft.com/office/drawing/2014/main" id="{A8FCF5E4-32F6-4D5E-85CE-36FEAED9B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318570</xdr:colOff>
      <xdr:row>0</xdr:row>
      <xdr:rowOff>66046</xdr:rowOff>
    </xdr:from>
    <xdr:to>
      <xdr:col>10</xdr:col>
      <xdr:colOff>555856</xdr:colOff>
      <xdr:row>6</xdr:row>
      <xdr:rowOff>60105</xdr:rowOff>
    </xdr:to>
    <xdr:graphicFrame macro="">
      <xdr:nvGraphicFramePr>
        <xdr:cNvPr id="21" name="Chart 20">
          <a:extLst>
            <a:ext uri="{FF2B5EF4-FFF2-40B4-BE49-F238E27FC236}">
              <a16:creationId xmlns:a16="http://schemas.microsoft.com/office/drawing/2014/main" id="{F8B0DBA3-20B0-4D0B-9FAC-298EA688E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547843</xdr:colOff>
      <xdr:row>6</xdr:row>
      <xdr:rowOff>68482</xdr:rowOff>
    </xdr:from>
    <xdr:to>
      <xdr:col>10</xdr:col>
      <xdr:colOff>566520</xdr:colOff>
      <xdr:row>12</xdr:row>
      <xdr:rowOff>49805</xdr:rowOff>
    </xdr:to>
    <xdr:graphicFrame macro="">
      <xdr:nvGraphicFramePr>
        <xdr:cNvPr id="24" name="Chart 23">
          <a:extLst>
            <a:ext uri="{FF2B5EF4-FFF2-40B4-BE49-F238E27FC236}">
              <a16:creationId xmlns:a16="http://schemas.microsoft.com/office/drawing/2014/main" id="{51F218AF-5FF2-410B-BEE6-1BB082892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48539</xdr:colOff>
      <xdr:row>5</xdr:row>
      <xdr:rowOff>77611</xdr:rowOff>
    </xdr:from>
    <xdr:to>
      <xdr:col>8</xdr:col>
      <xdr:colOff>317501</xdr:colOff>
      <xdr:row>6</xdr:row>
      <xdr:rowOff>37353</xdr:rowOff>
    </xdr:to>
    <xdr:sp macro="" textlink="">
      <xdr:nvSpPr>
        <xdr:cNvPr id="33" name="TextBox 32">
          <a:extLst>
            <a:ext uri="{FF2B5EF4-FFF2-40B4-BE49-F238E27FC236}">
              <a16:creationId xmlns:a16="http://schemas.microsoft.com/office/drawing/2014/main" id="{EA62C679-1C49-7706-A87E-24FCE2DC0393}"/>
            </a:ext>
          </a:extLst>
        </xdr:cNvPr>
        <xdr:cNvSpPr txBox="1"/>
      </xdr:nvSpPr>
      <xdr:spPr>
        <a:xfrm>
          <a:off x="4319225" y="1042562"/>
          <a:ext cx="879060" cy="152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0">
              <a:latin typeface="Aptos" panose="020B0004020202020204" pitchFamily="34" charset="0"/>
            </a:rPr>
            <a:t>Patuent</a:t>
          </a:r>
          <a:r>
            <a:rPr lang="en-IN" sz="600" b="0" baseline="0">
              <a:latin typeface="Aptos" panose="020B0004020202020204" pitchFamily="34" charset="0"/>
            </a:rPr>
            <a:t> Attend Status</a:t>
          </a:r>
          <a:endParaRPr lang="en-IN" sz="600" b="0">
            <a:latin typeface="Aptos" panose="020B0004020202020204" pitchFamily="34" charset="0"/>
          </a:endParaRPr>
        </a:p>
      </xdr:txBody>
    </xdr:sp>
    <xdr:clientData/>
  </xdr:twoCellAnchor>
  <xdr:twoCellAnchor>
    <xdr:from>
      <xdr:col>9</xdr:col>
      <xdr:colOff>85892</xdr:colOff>
      <xdr:row>5</xdr:row>
      <xdr:rowOff>65160</xdr:rowOff>
    </xdr:from>
    <xdr:to>
      <xdr:col>10</xdr:col>
      <xdr:colOff>354854</xdr:colOff>
      <xdr:row>6</xdr:row>
      <xdr:rowOff>24902</xdr:rowOff>
    </xdr:to>
    <xdr:sp macro="" textlink="">
      <xdr:nvSpPr>
        <xdr:cNvPr id="34" name="TextBox 33">
          <a:extLst>
            <a:ext uri="{FF2B5EF4-FFF2-40B4-BE49-F238E27FC236}">
              <a16:creationId xmlns:a16="http://schemas.microsoft.com/office/drawing/2014/main" id="{18E52C54-2704-DC28-84CC-932145537365}"/>
            </a:ext>
          </a:extLst>
        </xdr:cNvPr>
        <xdr:cNvSpPr txBox="1"/>
      </xdr:nvSpPr>
      <xdr:spPr>
        <a:xfrm>
          <a:off x="5576774" y="1030111"/>
          <a:ext cx="879060" cy="152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0">
              <a:latin typeface="Aptos" panose="020B0004020202020204" pitchFamily="34" charset="0"/>
            </a:rPr>
            <a:t>Gender</a:t>
          </a:r>
          <a:r>
            <a:rPr lang="en-IN" sz="600" b="0" baseline="0">
              <a:latin typeface="Aptos" panose="020B0004020202020204" pitchFamily="34" charset="0"/>
            </a:rPr>
            <a:t> Wise Analaysis</a:t>
          </a:r>
          <a:endParaRPr lang="en-IN" sz="600" b="0">
            <a:latin typeface="Aptos" panose="020B0004020202020204" pitchFamily="34" charset="0"/>
          </a:endParaRPr>
        </a:p>
      </xdr:txBody>
    </xdr:sp>
    <xdr:clientData/>
  </xdr:twoCellAnchor>
  <xdr:twoCellAnchor>
    <xdr:from>
      <xdr:col>7</xdr:col>
      <xdr:colOff>366039</xdr:colOff>
      <xdr:row>11</xdr:row>
      <xdr:rowOff>108738</xdr:rowOff>
    </xdr:from>
    <xdr:to>
      <xdr:col>9</xdr:col>
      <xdr:colOff>448236</xdr:colOff>
      <xdr:row>12</xdr:row>
      <xdr:rowOff>74705</xdr:rowOff>
    </xdr:to>
    <xdr:sp macro="" textlink="">
      <xdr:nvSpPr>
        <xdr:cNvPr id="37" name="TextBox 36">
          <a:extLst>
            <a:ext uri="{FF2B5EF4-FFF2-40B4-BE49-F238E27FC236}">
              <a16:creationId xmlns:a16="http://schemas.microsoft.com/office/drawing/2014/main" id="{43ACEB21-0597-9D49-77A9-7B77EF3EFCCC}"/>
            </a:ext>
          </a:extLst>
        </xdr:cNvPr>
        <xdr:cNvSpPr txBox="1"/>
      </xdr:nvSpPr>
      <xdr:spPr>
        <a:xfrm>
          <a:off x="4636725" y="2231630"/>
          <a:ext cx="1302393" cy="158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b="0">
              <a:latin typeface="Aptos" panose="020B0004020202020204" pitchFamily="34" charset="0"/>
            </a:rPr>
            <a:t>No</a:t>
          </a:r>
          <a:r>
            <a:rPr lang="en-IN" sz="600" b="0" baseline="0">
              <a:latin typeface="Aptos" panose="020B0004020202020204" pitchFamily="34" charset="0"/>
            </a:rPr>
            <a:t> of patient Departmenta;ll Referal</a:t>
          </a:r>
          <a:endParaRPr lang="en-IN" sz="600" b="0">
            <a:latin typeface="Aptos" panose="020B0004020202020204" pitchFamily="34" charset="0"/>
          </a:endParaRPr>
        </a:p>
      </xdr:txBody>
    </xdr:sp>
    <xdr:clientData/>
  </xdr:twoCellAnchor>
  <xdr:twoCellAnchor editAs="oneCell">
    <xdr:from>
      <xdr:col>5</xdr:col>
      <xdr:colOff>161353</xdr:colOff>
      <xdr:row>0</xdr:row>
      <xdr:rowOff>78074</xdr:rowOff>
    </xdr:from>
    <xdr:to>
      <xdr:col>6</xdr:col>
      <xdr:colOff>472404</xdr:colOff>
      <xdr:row>2</xdr:row>
      <xdr:rowOff>15615</xdr:rowOff>
    </xdr:to>
    <mc:AlternateContent xmlns:mc="http://schemas.openxmlformats.org/markup-compatibility/2006" xmlns:a14="http://schemas.microsoft.com/office/drawing/2010/main">
      <mc:Choice Requires="a14">
        <xdr:graphicFrame macro="">
          <xdr:nvGraphicFramePr>
            <xdr:cNvPr id="44" name="Column1 (Year) 1">
              <a:extLst>
                <a:ext uri="{FF2B5EF4-FFF2-40B4-BE49-F238E27FC236}">
                  <a16:creationId xmlns:a16="http://schemas.microsoft.com/office/drawing/2014/main" id="{FB08F6F6-46AB-4E1F-9BA0-022885DABABA}"/>
                </a:ext>
              </a:extLst>
            </xdr:cNvPr>
            <xdr:cNvGraphicFramePr/>
          </xdr:nvGraphicFramePr>
          <xdr:xfrm>
            <a:off x="0" y="0"/>
            <a:ext cx="0" cy="0"/>
          </xdr:xfrm>
          <a:graphic>
            <a:graphicData uri="http://schemas.microsoft.com/office/drawing/2010/slicer">
              <sle:slicer xmlns:sle="http://schemas.microsoft.com/office/drawing/2010/slicer" name="Column1 (Year) 1"/>
            </a:graphicData>
          </a:graphic>
        </xdr:graphicFrame>
      </mc:Choice>
      <mc:Fallback xmlns="">
        <xdr:sp macro="" textlink="">
          <xdr:nvSpPr>
            <xdr:cNvPr id="0" name=""/>
            <xdr:cNvSpPr>
              <a:spLocks noTextEdit="1"/>
            </xdr:cNvSpPr>
          </xdr:nvSpPr>
          <xdr:spPr>
            <a:xfrm>
              <a:off x="3206230" y="78074"/>
              <a:ext cx="920026" cy="322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114300</xdr:colOff>
      <xdr:row>20</xdr:row>
      <xdr:rowOff>180974</xdr:rowOff>
    </xdr:to>
    <xdr:graphicFrame macro="">
      <xdr:nvGraphicFramePr>
        <xdr:cNvPr id="2" name="Chart 1">
          <a:extLst>
            <a:ext uri="{FF2B5EF4-FFF2-40B4-BE49-F238E27FC236}">
              <a16:creationId xmlns:a16="http://schemas.microsoft.com/office/drawing/2014/main" id="{8A0F9036-9898-4BAD-9693-D95897F80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19050</xdr:colOff>
      <xdr:row>20</xdr:row>
      <xdr:rowOff>66675</xdr:rowOff>
    </xdr:to>
    <xdr:graphicFrame macro="">
      <xdr:nvGraphicFramePr>
        <xdr:cNvPr id="2" name="Chart 1">
          <a:extLst>
            <a:ext uri="{FF2B5EF4-FFF2-40B4-BE49-F238E27FC236}">
              <a16:creationId xmlns:a16="http://schemas.microsoft.com/office/drawing/2014/main" id="{39FFB05A-87C7-473C-AB94-1DF2DF5F8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0.02018</cdr:x>
      <cdr:y>0.0172</cdr:y>
    </cdr:from>
    <cdr:to>
      <cdr:x>0.09633</cdr:x>
      <cdr:y>0.22113</cdr:y>
    </cdr:to>
    <cdr:pic>
      <cdr:nvPicPr>
        <cdr:cNvPr id="3" name="Graphic 2" descr="House with solid fill">
          <a:extLst xmlns:a="http://schemas.openxmlformats.org/drawingml/2006/main">
            <a:ext uri="{FF2B5EF4-FFF2-40B4-BE49-F238E27FC236}">
              <a16:creationId xmlns:a16="http://schemas.microsoft.com/office/drawing/2014/main" id="{0E46C000-FA24-DB6C-894A-DB5B72DFCCA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09550" y="66675"/>
          <a:ext cx="790575" cy="79057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5115742" createdVersion="5" refreshedVersion="8" minRefreshableVersion="3" recordCount="0" supportSubquery="1" supportAdvancedDrill="1" xr:uid="{7EF24B9E-5DAD-496F-AA8D-30098C46336C}">
  <cacheSource type="external" connectionId="3"/>
  <cacheFields count="3">
    <cacheField name="[Measures].[Count of Patient Id]" caption="Count of Patient Id" numFmtId="0" hierarchy="24" level="32767"/>
    <cacheField name="[Calender_Table].[Column1 (Day)].[Column1 (Day)]" caption="Column1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5115742" createdVersion="5" refreshedVersion="8" minRefreshableVersion="3" recordCount="0" supportSubquery="1" supportAdvancedDrill="1" xr:uid="{94FFBC46-512F-4D77-81DF-4E66C1B37C8A}">
  <cacheSource type="external" connectionId="3"/>
  <cacheFields count="2">
    <cacheField name="[Measures].[Count of Patient Id]" caption="Count of Patient Id" numFmtId="0" hierarchy="24" level="32767"/>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5347219" createdVersion="5" refreshedVersion="8" minRefreshableVersion="3" recordCount="0" supportSubquery="1" supportAdvancedDrill="1" xr:uid="{BDDB54CF-0E0C-4C9B-A7E1-05EEE20B2538}">
  <cacheSource type="external" connectionId="3"/>
  <cacheFields count="2">
    <cacheField name="[Measures].[Average of Patient Waittime]" caption="Average of Patient Waittime" numFmtId="0" hierarchy="26" level="32767"/>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5347219" createdVersion="5" refreshedVersion="8" minRefreshableVersion="3" recordCount="0" supportSubquery="1" supportAdvancedDrill="1" xr:uid="{916A72F4-407F-4BAD-9DCF-C51CA2364A64}">
  <cacheSource type="external" connectionId="3"/>
  <cacheFields count="2">
    <cacheField name="[Measures].[Average of Patient Satisfaction Score]" caption="Average of Patient Satisfaction Score" numFmtId="0" hierarchy="28" level="32767"/>
    <cacheField name="[Calender_Table].[Column1 (Month)].[Column1 (Month)]" caption="Column1 (Month)" numFmtId="0" hierarchy="1"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5810188" createdVersion="5" refreshedVersion="8" minRefreshableVersion="3" recordCount="0" supportSubquery="1" supportAdvancedDrill="1" xr:uid="{48559D33-0B0E-4661-A3CB-0AE38F2D9BC2}">
  <cacheSource type="external" connectionId="3"/>
  <cacheFields count="3">
    <cacheField name="[Calender_Table].[Column1 (Day)].[Column1 (Day)]" caption="Column1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Column1 (Month)].[Column1 (Month)]" caption="Column1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6157404" createdVersion="5" refreshedVersion="8" minRefreshableVersion="3" recordCount="0" supportSubquery="1" supportAdvancedDrill="1" xr:uid="{4B6F1786-FCE3-41C2-A803-4DBD93E330A3}">
  <cacheSource type="external" connectionId="3"/>
  <cacheFields count="3">
    <cacheField name="[Calender_Table].[Column1 (Day)].[Column1 (Day)]" caption="Column1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Column1 (Month)].[Column1 (Month)]" caption="Column1 (Month)" numFmtId="0" hierarchy="1" level="1">
      <sharedItems containsSemiMixedTypes="0" containsNonDate="0" containsString="0"/>
    </cacheField>
    <cacheField name="[Measures].[Sum of Patient Satisfaction Score]" caption="Sum of Patient Satisfaction Score" numFmtId="0" hierarchy="27"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6504627" createdVersion="5" refreshedVersion="8" minRefreshableVersion="3" recordCount="0" supportSubquery="1" supportAdvancedDrill="1" xr:uid="{E65CB07F-DCD4-44D6-BFDE-ADE7321D82C6}">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Id]" caption="Count of Patient Id" numFmtId="0" hierarchy="24"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6967589" createdVersion="5" refreshedVersion="8" minRefreshableVersion="3" recordCount="0" supportSubquery="1" supportAdvancedDrill="1" xr:uid="{D16BA22E-F80C-47B3-96E3-7B5C7A10259C}">
  <cacheSource type="external" connectionId="3"/>
  <cacheFields count="3">
    <cacheField name="[Calender_Table].[Column1 (Month)].[Column1 (Month)]" caption="Column1 (Month)" numFmtId="0" hierarchy="1" level="1">
      <sharedItems containsSemiMixedTypes="0" containsNonDate="0" containsString="0"/>
    </cacheField>
    <cacheField name="[Hospital Emergency Room Data  1].[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7314813" createdVersion="5" refreshedVersion="8" minRefreshableVersion="3" recordCount="0" supportSubquery="1" supportAdvancedDrill="1" xr:uid="{7ABA245D-1124-468E-B09F-6B60124196D4}">
  <cacheSource type="external" connectionId="3"/>
  <cacheFields count="3">
    <cacheField name="[Calender_Table].[Column1 (Month)].[Column1 (Month)]" caption="Column1 (Month)" numFmtId="0" hierarchy="1" level="1">
      <sharedItems containsSemiMixedTypes="0" containsNonDate="0" containsString="0"/>
    </cacheField>
    <cacheField name="[Hospital Emergency Room Data  1].[Calculated Column 1].[Calculated Column 1]" caption="Calculated Column 1" numFmtId="0" hierarchy="17" level="1">
      <sharedItems count="2">
        <s v="Delay"/>
        <s v="Ontime"/>
      </sharedItems>
    </cacheField>
    <cacheField name="[Measures].[Count of Calculated Column 1]" caption="Count of Calculated Column 1" numFmtId="0" hierarchy="31"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2" memberValueDatatype="130" unbalanced="0">
      <fieldsUsage count="2">
        <fieldUsage x="-1"/>
        <fieldUsage x="1"/>
      </fieldsUsage>
    </cacheHierarchy>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7662036" createdVersion="5" refreshedVersion="8" minRefreshableVersion="3" recordCount="0" supportSubquery="1" supportAdvancedDrill="1" xr:uid="{AF23FDD3-8555-4047-A99B-0CD5A4BF9BED}">
  <cacheSource type="external" connectionId="3"/>
  <cacheFields count="3">
    <cacheField name="[Calender_Table].[Column1 (Month)].[Column1 (Month)]" caption="Column1 (Month)" numFmtId="0" hierarchy="1" level="1">
      <sharedItems containsSemiMixedTypes="0" containsNonDate="0" containsString="0"/>
    </cacheField>
    <cacheField name="[Hospital Emergency Room Data  1].[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078009259" createdVersion="5" refreshedVersion="8" minRefreshableVersion="3" recordCount="0" supportSubquery="1" supportAdvancedDrill="1" xr:uid="{1097CADF-947C-4DF5-A755-630A98BD5546}">
  <cacheSource type="external" connectionId="3"/>
  <cacheFields count="3">
    <cacheField name="[Calender_Table].[Column1 (Month)].[Column1 (Month)]" caption="Column1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0"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801141898148" createdVersion="5" refreshedVersion="8" minRefreshableVersion="3" recordCount="0" supportSubquery="1" supportAdvancedDrill="1" xr:uid="{C7019603-3929-41D4-B74E-D30C64F3B239}">
  <cacheSource type="external" connectionId="3"/>
  <cacheFields count="4">
    <cacheField name="[Calender_Table].[Column1 (Month)].[Column1 (Month)]" caption="Column1 (Month)" numFmtId="0" hierarchy="1" level="1">
      <sharedItems count="1">
        <s v="Nov"/>
      </sharedItems>
    </cacheField>
    <cacheField name="[Calender_Table].[Column1].[Column1]" caption="Column1"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er_Table].[Column1 (Quarter)].[Column1 (Quarter)]" caption="Column1 (Quarter)" numFmtId="0" hierarchy="4" level="1">
      <sharedItems count="1">
        <s v="Qtr4"/>
      </sharedItems>
    </cacheField>
    <cacheField name="[Calender_Table].[Column1 (Year)].[Column1 (Year)]" caption="Column1 (Year)" numFmtId="0" hierarchy="3" level="1">
      <sharedItems count="1">
        <s v="2024"/>
      </sharedItems>
    </cacheField>
  </cacheFields>
  <cacheHierarchies count="34">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1"/>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2"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2"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2"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gar Valmiki" refreshedDate="46190.663897337959" createdVersion="3" refreshedVersion="8" minRefreshableVersion="3" recordCount="0" supportSubquery="1" supportAdvancedDrill="1" xr:uid="{00C70E64-6A9F-4DCC-8460-168A3EF2B08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ent Name]" caption="Patientent Name" attribute="1" defaultMemberUniqueName="[Hospital Emergency Room Data  1].[Patientent Name].[All]" allUniqueName="[Hospital Emergency Room Data  1].[Patient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Calculated Column 1]" caption="Calculated Column 1" attribute="1" defaultMemberUniqueName="[Hospital Emergency Room Data  1].[Calculated Column 1].[All]" allUniqueName="[Hospital Emergency Room Data  1].[Calculated Column 1].[All]" dimensionUniqueName="[Hospital Emergency Room Data  1]"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Measure 1]" caption="Measure 1" measure="1" displayFolder="" measureGroup="Hospital Emergency Room Data  1" count="0"/>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111260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49566-C09D-4957-A9D3-0ADFEB2E6E29}" name="PivotTable3" cacheId="3" applyNumberFormats="0" applyBorderFormats="0" applyFontFormats="0" applyPatternFormats="0" applyAlignmentFormats="0" applyWidthHeightFormats="1" dataCaption="Values" tag="1ab8fc59-403d-4641-974d-daade0e80dc3"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36013-3ECF-4FE1-B8E3-A238150279D3}" name="PivotTable7" cacheId="5" applyNumberFormats="0" applyBorderFormats="0" applyFontFormats="0" applyPatternFormats="0" applyAlignmentFormats="0" applyWidthHeightFormats="1" dataCaption="Values" tag="63650bdb-3f24-4b9c-aed6-915416b6d2cd" updatedVersion="8" minRefreshableVersion="3" subtotalHiddenItems="1" itemPrintTitles="1" createdVersion="5" indent="0" outline="1" outlineData="1" multipleFieldFilters="0" chartFormat="23">
  <location ref="J4:K3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formats count="6">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chartFormats count="5">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C41550-04FB-4EFC-84FD-B4A663D398C0}" name="PivotTable2" cacheId="2" applyNumberFormats="0" applyBorderFormats="0" applyFontFormats="0" applyPatternFormats="0" applyAlignmentFormats="0" applyWidthHeightFormats="1" dataCaption="Values" tag="2ed8bcdd-91e1-4d16-aa90-f852d4697b85" updatedVersion="8" minRefreshableVersion="3"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10">
      <pivotArea outline="0" collapsedLevelsAreSubtotals="1" fieldPosition="0"/>
    </format>
    <format dxfId="9">
      <pivotArea type="all" dataOnly="0" outline="0" fieldPosition="0"/>
    </format>
    <format dxfId="8">
      <pivotArea outline="0" collapsedLevelsAreSubtotals="1" fieldPosition="0"/>
    </format>
    <format dxfId="7">
      <pivotArea dataOnly="0" labelOnly="1" outline="0" axis="axisValues" fieldPosition="0"/>
    </format>
  </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D30797-C437-404F-8FCF-9858253BD038}" name="PivotTable5" cacheId="6" applyNumberFormats="0" applyBorderFormats="0" applyFontFormats="0" applyPatternFormats="0" applyAlignmentFormats="0" applyWidthHeightFormats="1" dataCaption="Values" tag="1ab8fc59-403d-4641-974d-daade0e80dc3" updatedVersion="8" minRefreshableVersion="3" subtotalHiddenItems="1" itemPrintTitles="1" createdVersion="5" indent="0" outline="1" outlineData="1" multipleFieldFilters="0" chartFormat="25">
  <location ref="A41:C44"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Id" fld="2" subtotal="count" baseField="0" baseItem="0"/>
    <dataField name="Count of Patient Id2" fld="3" subtotal="count" showDataAs="percentOfTotal" baseField="0" baseItem="0" numFmtId="10">
      <extLst>
        <ext xmlns:x14="http://schemas.microsoft.com/office/spreadsheetml/2009/9/main" uri="{E15A36E0-9728-4e99-A89B-3F7291B0FE68}">
          <x14:dataField sourceField="2" uniqueName="[__Xl2].[Measures].[Count of Patient Id]"/>
        </ext>
      </extLst>
    </dataField>
  </dataFields>
  <formats count="11">
    <format dxfId="21">
      <pivotArea outline="0" collapsedLevelsAreSubtotals="1" fieldPosition="0"/>
    </format>
    <format dxfId="20">
      <pivotArea collapsedLevelsAreSubtotals="1" fieldPosition="0">
        <references count="1">
          <reference field="1" count="0"/>
        </references>
      </pivotArea>
    </format>
    <format dxfId="19">
      <pivotArea grandRow="1" outline="0" collapsedLevelsAreSubtotals="1" fieldPosition="0"/>
    </format>
    <format dxfId="18">
      <pivotArea outline="0" fieldPosition="0">
        <references count="1">
          <reference field="4294967294" count="1">
            <x v="0"/>
          </reference>
        </references>
      </pivotArea>
    </format>
    <format dxfId="17">
      <pivotArea outline="0" fieldPosition="0">
        <references count="1">
          <reference field="4294967294" count="1">
            <x v="1"/>
          </reference>
        </references>
      </pivotArea>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6D0A25-E2E9-4165-B70D-FDD09A4C0596}" name="PivotTable8" cacheId="7" applyNumberFormats="0" applyBorderFormats="0" applyFontFormats="0" applyPatternFormats="0" applyAlignmentFormats="0" applyWidthHeightFormats="1" dataCaption="Values" tag="1ab8fc59-403d-4641-974d-daade0e80dc3" updatedVersion="8" minRefreshableVersion="3" subtotalHiddenItems="1" itemPrintTitles="1" createdVersion="5" indent="0" outline="1" outlineData="1" multipleFieldFilters="0" chartFormat="31">
  <location ref="F41:G5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23">
      <pivotArea grandRow="1" outline="0" collapsedLevelsAreSubtotals="1" fieldPosition="0"/>
    </format>
    <format dxfId="22">
      <pivotArea outline="0" collapsedLevelsAreSubtotals="1" fieldPosition="0"/>
    </format>
  </formats>
  <chartFormats count="1">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3AE802-C664-405C-8A53-ED2EAA6CE931}" name="PivotTable10" cacheId="9" applyNumberFormats="0" applyBorderFormats="0" applyFontFormats="0" applyPatternFormats="0" applyAlignmentFormats="0" applyWidthHeightFormats="1" dataCaption="Values" tag="1ab8fc59-403d-4641-974d-daade0e80dc3" updatedVersion="8" minRefreshableVersion="3" subtotalHiddenItems="1" itemPrintTitles="1" createdVersion="5" indent="0" outline="1" outlineData="1" multipleFieldFilters="0" chartFormat="40">
  <location ref="J50:K5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2">
    <format dxfId="25">
      <pivotArea grandRow="1" outline="0" collapsedLevelsAreSubtotals="1" fieldPosition="0"/>
    </format>
    <format dxfId="24">
      <pivotArea outline="0" collapsedLevelsAreSubtotals="1" fieldPosition="0"/>
    </format>
  </formats>
  <chartFormats count="3">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1" count="1" selected="0">
            <x v="0"/>
          </reference>
        </references>
      </pivotArea>
    </chartFormat>
    <chartFormat chart="3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E34729-51AC-478A-9155-D278D5454791}" name="PivotTable14" cacheId="11" applyNumberFormats="0" applyBorderFormats="0" applyFontFormats="0" applyPatternFormats="0" applyAlignmentFormats="0" applyWidthHeightFormats="1" dataCaption="Values" tag="1ab8fc59-403d-4641-974d-daade0e80dc3" updatedVersion="8" minRefreshableVersion="3" subtotalHiddenItems="1" itemPrintTitles="1" createdVersion="5" indent="0" outline="1" outlineData="1" multipleFieldFilters="0" chartFormat="45">
  <location ref="F70:F7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27">
      <pivotArea grandRow="1" outline="0" collapsedLevelsAreSubtotals="1" fieldPosition="0"/>
    </format>
    <format dxfId="26">
      <pivotArea outline="0" collapsedLevelsAreSubtotals="1" fieldPosition="0"/>
    </format>
  </formats>
  <pivotHierarchies count="34">
    <pivotHierarchy dragToData="1"/>
    <pivotHierarchy multipleItemSelectionAllowed="1" dragToData="1">
      <members count="1" level="1">
        <member name="[Calender_Table].[Column1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B803A-BD59-4DE6-B04A-3BCFDD39E200}" name="PivotTable6" cacheId="4" applyNumberFormats="0" applyBorderFormats="0" applyFontFormats="0" applyPatternFormats="0" applyAlignmentFormats="0" applyWidthHeightFormats="1" dataCaption="Values" tag="c6e77860-4da9-4a0c-901f-89709196b850" updatedVersion="8" minRefreshableVersion="3" subtotalHiddenItems="1" itemPrintTitles="1" createdVersion="5" indent="0" outline="1" outlineData="1" multipleFieldFilters="0" chartFormat="19">
  <location ref="G3:H34"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6">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chartFormats count="3">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342941-7CC1-4BDF-9CAF-58CC0F301F7A}" name="PivotTable4" cacheId="0" applyNumberFormats="0" applyBorderFormats="0" applyFontFormats="0" applyPatternFormats="0" applyAlignmentFormats="0" applyWidthHeightFormats="1" dataCaption="Values" tag="88ef11a6-e64c-4db2-9a12-0f1fdfb296e1" updatedVersion="8" minRefreshableVersion="3" subtotalHiddenItems="1" itemPrintTitles="1" createdVersion="5" indent="0" outline="1" outlineData="1" multipleFieldFilters="0" chartFormat="13">
  <location ref="D3:E34"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formats count="6">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02D078-634C-4A37-A125-95537A090574}" name="PivotTable11" cacheId="10" applyNumberFormats="0" applyBorderFormats="0" applyFontFormats="0" applyPatternFormats="0" applyAlignmentFormats="0" applyWidthHeightFormats="1" dataCaption="Values" tag="1ab8fc59-403d-4641-974d-daade0e80dc3" updatedVersion="8" minRefreshableVersion="3" subtotalHiddenItems="1" itemPrintTitles="1" createdVersion="5" indent="0" outline="1" outlineData="1" multipleFieldFilters="0" chartFormat="45">
  <location ref="H57:I6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2">
    <format dxfId="41">
      <pivotArea grandRow="1" outline="0" collapsedLevelsAreSubtotals="1" fieldPosition="0"/>
    </format>
    <format dxfId="40">
      <pivotArea outline="0" collapsedLevelsAreSubtotals="1" fieldPosition="0"/>
    </format>
  </formats>
  <chartFormats count="1">
    <chartFormat chart="4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4B99F1-9809-4030-B435-76F78AEB3C9D}" name="PivotTable9" cacheId="8" applyNumberFormats="0" applyBorderFormats="0" applyFontFormats="0" applyPatternFormats="0" applyAlignmentFormats="0" applyWidthHeightFormats="1" dataCaption="Values" tag="1ab8fc59-403d-4641-974d-daade0e80dc3" updatedVersion="8" minRefreshableVersion="3" subtotalHiddenItems="1" itemPrintTitles="1" createdVersion="5" indent="0" outline="1" outlineData="1" multipleFieldFilters="0" chartFormat="35">
  <location ref="J42:K4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Calculated Column 1" fld="2" subtotal="count" baseField="0" baseItem="0"/>
  </dataFields>
  <formats count="2">
    <format dxfId="43">
      <pivotArea grandRow="1" outline="0" collapsedLevelsAreSubtotals="1" fieldPosition="0"/>
    </format>
    <format dxfId="42">
      <pivotArea outline="0" collapsedLevelsAreSubtotals="1" fieldPosition="0"/>
    </format>
  </format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F12BCD-7D20-4C3D-A257-8A8742555A93}" name="PivotTable1" cacheId="1" applyNumberFormats="0" applyBorderFormats="0" applyFontFormats="0" applyPatternFormats="0" applyAlignmentFormats="0" applyWidthHeightFormats="1" dataCaption="Values" tag="64fef55d-7473-4991-9983-f0e549491fee" updatedVersion="8" minRefreshableVersion="3"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34">
    <pivotHierarchy dragToData="1"/>
    <pivotHierarchy multipleItemSelectionAllowed="1" dragToData="1">
      <members count="1" level="1">
        <member name="[Calender_Table].[Column1 (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59650558-5A09-4CF9-9370-5804034E0AD7}" sourceName="[Calender_Table].[Column1 (Month)]">
  <pivotTables>
    <pivotTable tabId="1" name="PivotTable4"/>
    <pivotTable tabId="1" name="PivotTable1"/>
    <pivotTable tabId="1" name="PivotTable2"/>
    <pivotTable tabId="1" name="PivotTable3"/>
    <pivotTable tabId="1" name="PivotTable6"/>
    <pivotTable tabId="1" name="PivotTable7"/>
    <pivotTable tabId="1" name="PivotTable5"/>
    <pivotTable tabId="1" name="PivotTable8"/>
    <pivotTable tabId="1" name="PivotTable9"/>
    <pivotTable tabId="1" name="PivotTable10"/>
    <pivotTable tabId="1" name="PivotTable11"/>
    <pivotTable tabId="1" name="PivotTable14"/>
  </pivotTables>
  <data>
    <olap pivotCacheId="1711126074">
      <levels count="2">
        <level uniqueName="[Calender_Table].[Column1 (Month)].[(All)]" sourceCaption="(All)" count="0"/>
        <level uniqueName="[Calender_Table].[Column1 (Month)].[Column1 (Month)]" sourceCaption="Column1 (Month)" count="12">
          <ranges>
            <range startItem="0">
              <i n="[Calender_Table].[Column1 (Month)].&amp;[Jan]" c="Jan"/>
              <i n="[Calender_Table].[Column1 (Month)].&amp;[Feb]" c="Feb"/>
              <i n="[Calender_Table].[Column1 (Month)].&amp;[Mar]" c="Mar"/>
              <i n="[Calender_Table].[Column1 (Month)].&amp;[Apr]" c="Apr"/>
              <i n="[Calender_Table].[Column1 (Month)].&amp;[May]" c="May"/>
              <i n="[Calender_Table].[Column1 (Month)].&amp;[Jun]" c="Jun"/>
              <i n="[Calender_Table].[Column1 (Month)].&amp;[Jul]" c="Jul"/>
              <i n="[Calender_Table].[Column1 (Month)].&amp;[Aug]" c="Aug"/>
              <i n="[Calender_Table].[Column1 (Month)].&amp;[Sep]" c="Sep"/>
              <i n="[Calender_Table].[Column1 (Month)].&amp;[Oct]" c="Oct"/>
              <i n="[Calender_Table].[Column1 (Month)].&amp;[Nov]" c="Nov"/>
              <i n="[Calender_Table].[Column1 (Month)].&amp;[Dec]" c="Dec"/>
            </range>
          </ranges>
        </level>
      </levels>
      <selections count="1">
        <selection n="[Calender_Table].[Column1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76B5CBBF-152C-4D38-A52C-10E07A778D9E}" sourceName="[Calender_Table].[Column1 (Year)]">
  <pivotTables>
    <pivotTable tabId="1" name="PivotTable14"/>
  </pivotTables>
  <data>
    <olap pivotCacheId="1711126074">
      <levels count="2">
        <level uniqueName="[Calender_Table].[Column1 (Year)].[(All)]" sourceCaption="(All)" count="0"/>
        <level uniqueName="[Calender_Table].[Column1 (Year)].[Column1 (Year)]" sourceCaption="Column1 (Year)" count="2">
          <ranges>
            <range startItem="0">
              <i n="[Calender_Table].[Column1 (Year)].&amp;[2023]" c="2023"/>
              <i n="[Calender_Table].[Column1 (Year)].&amp;[2024]" c="2024"/>
            </range>
          </ranges>
        </level>
      </levels>
      <selections count="1">
        <selection n="[Calender_Table].[Column1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Year)" xr10:uid="{AF754746-F5BA-4A29-B361-B7F9AA444FC0}" cache="Slicer_Column1__Year" caption="Column1 (Year)" columnCount="2"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1" xr10:uid="{C609CA79-952E-4ECD-9730-724E1F43CB8D}" cache="Slicer_Column1__Month" caption="Column1 (Month)" showCaption="0" level="1" style="my style" rowHeight="115200"/>
  <slicer name="Column1 (Year) 1" xr10:uid="{59A9F5CC-5ED2-4A4E-8D73-8EF0A3499B36}" cache="Slicer_Column1__Year" caption="Column1 (Year)" columnCount="2" showCaption="0" level="1" style="my 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61CC-DD76-4B8B-A38C-E491AF86AD53}">
  <dimension ref="A2:K72"/>
  <sheetViews>
    <sheetView tabSelected="1" workbookViewId="0">
      <selection activeCell="D54" sqref="D54"/>
    </sheetView>
  </sheetViews>
  <sheetFormatPr defaultRowHeight="15" x14ac:dyDescent="0.25"/>
  <cols>
    <col min="1" max="1" width="20" customWidth="1"/>
    <col min="2" max="2" width="15.42578125" customWidth="1"/>
    <col min="3" max="3" width="1.42578125" customWidth="1"/>
    <col min="4" max="4" width="33.85546875" customWidth="1"/>
    <col min="5" max="5" width="17.42578125" customWidth="1"/>
    <col min="6" max="6" width="2.42578125" customWidth="1"/>
    <col min="7" max="7" width="27.5703125" customWidth="1"/>
    <col min="8" max="8" width="25.42578125" customWidth="1"/>
    <col min="9" max="9" width="1.140625" customWidth="1"/>
    <col min="11" max="11" width="29.5703125" customWidth="1"/>
  </cols>
  <sheetData>
    <row r="2" spans="1:11" x14ac:dyDescent="0.25">
      <c r="A2" s="10" t="s">
        <v>1</v>
      </c>
      <c r="D2" s="14" t="s">
        <v>7</v>
      </c>
      <c r="E2" s="14"/>
      <c r="G2" s="10" t="s">
        <v>8</v>
      </c>
      <c r="H2" s="10"/>
    </row>
    <row r="3" spans="1:11" x14ac:dyDescent="0.25">
      <c r="A3" s="10" t="s">
        <v>0</v>
      </c>
      <c r="D3" s="12" t="s">
        <v>6</v>
      </c>
      <c r="E3" s="10" t="s">
        <v>0</v>
      </c>
      <c r="G3" s="12" t="s">
        <v>6</v>
      </c>
      <c r="H3" s="10" t="s">
        <v>2</v>
      </c>
      <c r="J3" s="10" t="s">
        <v>9</v>
      </c>
      <c r="K3" s="10"/>
    </row>
    <row r="4" spans="1:11" x14ac:dyDescent="0.25">
      <c r="A4" s="10">
        <v>991</v>
      </c>
      <c r="D4" s="13" t="s">
        <v>41</v>
      </c>
      <c r="E4" s="10">
        <v>43</v>
      </c>
      <c r="G4" s="13" t="s">
        <v>41</v>
      </c>
      <c r="H4" s="10">
        <v>34.279069767441861</v>
      </c>
      <c r="J4" s="12" t="s">
        <v>6</v>
      </c>
      <c r="K4" s="10" t="s">
        <v>3</v>
      </c>
    </row>
    <row r="5" spans="1:11" x14ac:dyDescent="0.25">
      <c r="D5" s="13" t="s">
        <v>42</v>
      </c>
      <c r="E5" s="10">
        <v>27</v>
      </c>
      <c r="G5" s="13" t="s">
        <v>42</v>
      </c>
      <c r="H5" s="10">
        <v>36.222222222222221</v>
      </c>
      <c r="J5" s="13" t="s">
        <v>41</v>
      </c>
      <c r="K5" s="10">
        <v>43</v>
      </c>
    </row>
    <row r="6" spans="1:11" x14ac:dyDescent="0.25">
      <c r="A6" s="10" t="s">
        <v>2</v>
      </c>
      <c r="B6" s="10"/>
      <c r="D6" s="13" t="s">
        <v>43</v>
      </c>
      <c r="E6" s="10">
        <v>42</v>
      </c>
      <c r="G6" s="13" t="s">
        <v>43</v>
      </c>
      <c r="H6" s="10">
        <v>35.904761904761905</v>
      </c>
      <c r="J6" s="13" t="s">
        <v>42</v>
      </c>
      <c r="K6" s="10">
        <v>58</v>
      </c>
    </row>
    <row r="7" spans="1:11" x14ac:dyDescent="0.25">
      <c r="A7" s="11">
        <v>35.544904137235115</v>
      </c>
      <c r="B7" s="10"/>
      <c r="D7" s="13" t="s">
        <v>44</v>
      </c>
      <c r="E7" s="10">
        <v>32</v>
      </c>
      <c r="G7" s="13" t="s">
        <v>44</v>
      </c>
      <c r="H7" s="10">
        <v>32.53125</v>
      </c>
      <c r="J7" s="13" t="s">
        <v>43</v>
      </c>
      <c r="K7" s="10">
        <v>47</v>
      </c>
    </row>
    <row r="8" spans="1:11" x14ac:dyDescent="0.25">
      <c r="D8" s="13" t="s">
        <v>45</v>
      </c>
      <c r="E8" s="10">
        <v>32</v>
      </c>
      <c r="G8" s="13" t="s">
        <v>45</v>
      </c>
      <c r="H8" s="10">
        <v>33.84375</v>
      </c>
      <c r="J8" s="13" t="s">
        <v>44</v>
      </c>
      <c r="K8" s="10">
        <v>70</v>
      </c>
    </row>
    <row r="9" spans="1:11" x14ac:dyDescent="0.25">
      <c r="D9" s="13" t="s">
        <v>46</v>
      </c>
      <c r="E9" s="10">
        <v>28</v>
      </c>
      <c r="G9" s="13" t="s">
        <v>46</v>
      </c>
      <c r="H9" s="10">
        <v>35.214285714285715</v>
      </c>
      <c r="J9" s="13" t="s">
        <v>45</v>
      </c>
      <c r="K9" s="10">
        <v>61</v>
      </c>
    </row>
    <row r="10" spans="1:11" x14ac:dyDescent="0.25">
      <c r="A10" t="s">
        <v>4</v>
      </c>
      <c r="D10" s="13" t="s">
        <v>47</v>
      </c>
      <c r="E10" s="10">
        <v>32</v>
      </c>
      <c r="G10" s="13" t="s">
        <v>47</v>
      </c>
      <c r="H10" s="10">
        <v>37.21875</v>
      </c>
      <c r="J10" s="13" t="s">
        <v>46</v>
      </c>
      <c r="K10" s="10">
        <v>34</v>
      </c>
    </row>
    <row r="11" spans="1:11" x14ac:dyDescent="0.25">
      <c r="A11" s="2">
        <v>4.947183098591549</v>
      </c>
      <c r="D11" s="13" t="s">
        <v>48</v>
      </c>
      <c r="E11" s="10">
        <v>39</v>
      </c>
      <c r="G11" s="13" t="s">
        <v>48</v>
      </c>
      <c r="H11" s="10">
        <v>36.871794871794869</v>
      </c>
      <c r="J11" s="13" t="s">
        <v>47</v>
      </c>
      <c r="K11" s="10">
        <v>41</v>
      </c>
    </row>
    <row r="12" spans="1:11" x14ac:dyDescent="0.25">
      <c r="D12" s="13" t="s">
        <v>49</v>
      </c>
      <c r="E12" s="10">
        <v>40</v>
      </c>
      <c r="G12" s="13" t="s">
        <v>49</v>
      </c>
      <c r="H12" s="10">
        <v>36.450000000000003</v>
      </c>
      <c r="J12" s="13" t="s">
        <v>48</v>
      </c>
      <c r="K12" s="10">
        <v>25</v>
      </c>
    </row>
    <row r="13" spans="1:11" x14ac:dyDescent="0.25">
      <c r="D13" s="13" t="s">
        <v>50</v>
      </c>
      <c r="E13" s="10">
        <v>31</v>
      </c>
      <c r="G13" s="13" t="s">
        <v>50</v>
      </c>
      <c r="H13" s="10">
        <v>32.935483870967744</v>
      </c>
      <c r="J13" s="13" t="s">
        <v>49</v>
      </c>
      <c r="K13" s="10">
        <v>94</v>
      </c>
    </row>
    <row r="14" spans="1:11" x14ac:dyDescent="0.25">
      <c r="D14" s="13" t="s">
        <v>51</v>
      </c>
      <c r="E14" s="10">
        <v>34</v>
      </c>
      <c r="G14" s="13" t="s">
        <v>51</v>
      </c>
      <c r="H14" s="10">
        <v>41.323529411764703</v>
      </c>
      <c r="J14" s="13" t="s">
        <v>50</v>
      </c>
      <c r="K14" s="10">
        <v>38</v>
      </c>
    </row>
    <row r="15" spans="1:11" x14ac:dyDescent="0.25">
      <c r="D15" s="13" t="s">
        <v>52</v>
      </c>
      <c r="E15" s="10">
        <v>37</v>
      </c>
      <c r="G15" s="13" t="s">
        <v>52</v>
      </c>
      <c r="H15" s="10">
        <v>34.432432432432435</v>
      </c>
      <c r="J15" s="13" t="s">
        <v>51</v>
      </c>
      <c r="K15" s="10">
        <v>68</v>
      </c>
    </row>
    <row r="16" spans="1:11" x14ac:dyDescent="0.25">
      <c r="D16" s="13" t="s">
        <v>53</v>
      </c>
      <c r="E16" s="10">
        <v>30</v>
      </c>
      <c r="G16" s="13" t="s">
        <v>53</v>
      </c>
      <c r="H16" s="10">
        <v>36.966666666666669</v>
      </c>
      <c r="J16" s="13" t="s">
        <v>52</v>
      </c>
      <c r="K16" s="10">
        <v>35</v>
      </c>
    </row>
    <row r="17" spans="4:11" x14ac:dyDescent="0.25">
      <c r="D17" s="13" t="s">
        <v>54</v>
      </c>
      <c r="E17" s="10">
        <v>25</v>
      </c>
      <c r="G17" s="13" t="s">
        <v>54</v>
      </c>
      <c r="H17" s="10">
        <v>39.520000000000003</v>
      </c>
      <c r="J17" s="13" t="s">
        <v>53</v>
      </c>
      <c r="K17" s="10">
        <v>32</v>
      </c>
    </row>
    <row r="18" spans="4:11" x14ac:dyDescent="0.25">
      <c r="D18" s="13" t="s">
        <v>55</v>
      </c>
      <c r="E18" s="10">
        <v>38</v>
      </c>
      <c r="G18" s="13" t="s">
        <v>55</v>
      </c>
      <c r="H18" s="10">
        <v>36.026315789473685</v>
      </c>
      <c r="J18" s="13" t="s">
        <v>54</v>
      </c>
      <c r="K18" s="10">
        <v>55</v>
      </c>
    </row>
    <row r="19" spans="4:11" x14ac:dyDescent="0.25">
      <c r="D19" s="13" t="s">
        <v>56</v>
      </c>
      <c r="E19" s="10">
        <v>27</v>
      </c>
      <c r="G19" s="13" t="s">
        <v>56</v>
      </c>
      <c r="H19" s="10">
        <v>32.370370370370374</v>
      </c>
      <c r="J19" s="13" t="s">
        <v>55</v>
      </c>
      <c r="K19" s="10">
        <v>52</v>
      </c>
    </row>
    <row r="20" spans="4:11" x14ac:dyDescent="0.25">
      <c r="D20" s="13" t="s">
        <v>57</v>
      </c>
      <c r="E20" s="10">
        <v>37</v>
      </c>
      <c r="G20" s="13" t="s">
        <v>57</v>
      </c>
      <c r="H20" s="10">
        <v>33.243243243243242</v>
      </c>
      <c r="J20" s="13" t="s">
        <v>56</v>
      </c>
      <c r="K20" s="10">
        <v>13</v>
      </c>
    </row>
    <row r="21" spans="4:11" x14ac:dyDescent="0.25">
      <c r="D21" s="13" t="s">
        <v>58</v>
      </c>
      <c r="E21" s="10">
        <v>33</v>
      </c>
      <c r="G21" s="13" t="s">
        <v>58</v>
      </c>
      <c r="H21" s="10">
        <v>33.575757575757578</v>
      </c>
      <c r="J21" s="13" t="s">
        <v>57</v>
      </c>
      <c r="K21" s="10">
        <v>65</v>
      </c>
    </row>
    <row r="22" spans="4:11" x14ac:dyDescent="0.25">
      <c r="D22" s="13" t="s">
        <v>59</v>
      </c>
      <c r="E22" s="10">
        <v>23</v>
      </c>
      <c r="G22" s="13" t="s">
        <v>59</v>
      </c>
      <c r="H22" s="10">
        <v>31.130434782608695</v>
      </c>
      <c r="J22" s="13" t="s">
        <v>58</v>
      </c>
      <c r="K22" s="10">
        <v>42</v>
      </c>
    </row>
    <row r="23" spans="4:11" x14ac:dyDescent="0.25">
      <c r="D23" s="13" t="s">
        <v>60</v>
      </c>
      <c r="E23" s="10">
        <v>27</v>
      </c>
      <c r="G23" s="13" t="s">
        <v>60</v>
      </c>
      <c r="H23" s="10">
        <v>36.888888888888886</v>
      </c>
      <c r="J23" s="13" t="s">
        <v>59</v>
      </c>
      <c r="K23" s="10">
        <v>22</v>
      </c>
    </row>
    <row r="24" spans="4:11" x14ac:dyDescent="0.25">
      <c r="D24" s="13" t="s">
        <v>61</v>
      </c>
      <c r="E24" s="10">
        <v>29</v>
      </c>
      <c r="G24" s="13" t="s">
        <v>61</v>
      </c>
      <c r="H24" s="10">
        <v>29.862068965517242</v>
      </c>
      <c r="J24" s="13" t="s">
        <v>60</v>
      </c>
      <c r="K24" s="10">
        <v>27</v>
      </c>
    </row>
    <row r="25" spans="4:11" x14ac:dyDescent="0.25">
      <c r="D25" s="13" t="s">
        <v>62</v>
      </c>
      <c r="E25" s="10">
        <v>38</v>
      </c>
      <c r="G25" s="13" t="s">
        <v>62</v>
      </c>
      <c r="H25" s="10">
        <v>36.526315789473685</v>
      </c>
      <c r="J25" s="13" t="s">
        <v>61</v>
      </c>
      <c r="K25" s="10">
        <v>37</v>
      </c>
    </row>
    <row r="26" spans="4:11" x14ac:dyDescent="0.25">
      <c r="D26" s="13" t="s">
        <v>63</v>
      </c>
      <c r="E26" s="10">
        <v>28</v>
      </c>
      <c r="G26" s="13" t="s">
        <v>63</v>
      </c>
      <c r="H26" s="10">
        <v>34.571428571428569</v>
      </c>
      <c r="J26" s="13" t="s">
        <v>62</v>
      </c>
      <c r="K26" s="10">
        <v>45</v>
      </c>
    </row>
    <row r="27" spans="4:11" x14ac:dyDescent="0.25">
      <c r="D27" s="13" t="s">
        <v>64</v>
      </c>
      <c r="E27" s="10">
        <v>36</v>
      </c>
      <c r="G27" s="13" t="s">
        <v>64</v>
      </c>
      <c r="H27" s="10">
        <v>38.5</v>
      </c>
      <c r="J27" s="13" t="s">
        <v>63</v>
      </c>
      <c r="K27" s="10">
        <v>35</v>
      </c>
    </row>
    <row r="28" spans="4:11" x14ac:dyDescent="0.25">
      <c r="D28" s="13" t="s">
        <v>65</v>
      </c>
      <c r="E28" s="10">
        <v>31</v>
      </c>
      <c r="G28" s="13" t="s">
        <v>65</v>
      </c>
      <c r="H28" s="10">
        <v>37.12903225806452</v>
      </c>
      <c r="J28" s="13" t="s">
        <v>64</v>
      </c>
      <c r="K28" s="10">
        <v>42</v>
      </c>
    </row>
    <row r="29" spans="4:11" x14ac:dyDescent="0.25">
      <c r="D29" s="13" t="s">
        <v>66</v>
      </c>
      <c r="E29" s="10">
        <v>34</v>
      </c>
      <c r="G29" s="13" t="s">
        <v>66</v>
      </c>
      <c r="H29" s="10">
        <v>33.852941176470587</v>
      </c>
      <c r="J29" s="13" t="s">
        <v>65</v>
      </c>
      <c r="K29" s="10">
        <v>56</v>
      </c>
    </row>
    <row r="30" spans="4:11" x14ac:dyDescent="0.25">
      <c r="D30" s="13" t="s">
        <v>67</v>
      </c>
      <c r="E30" s="10">
        <v>39</v>
      </c>
      <c r="G30" s="13" t="s">
        <v>67</v>
      </c>
      <c r="H30" s="10">
        <v>37.230769230769234</v>
      </c>
      <c r="J30" s="13" t="s">
        <v>66</v>
      </c>
      <c r="K30" s="10">
        <v>54</v>
      </c>
    </row>
    <row r="31" spans="4:11" x14ac:dyDescent="0.25">
      <c r="D31" s="13" t="s">
        <v>68</v>
      </c>
      <c r="E31" s="10">
        <v>40</v>
      </c>
      <c r="G31" s="13" t="s">
        <v>68</v>
      </c>
      <c r="H31" s="10">
        <v>36.075000000000003</v>
      </c>
      <c r="J31" s="13" t="s">
        <v>67</v>
      </c>
      <c r="K31" s="10">
        <v>57</v>
      </c>
    </row>
    <row r="32" spans="4:11" x14ac:dyDescent="0.25">
      <c r="D32" s="13" t="s">
        <v>69</v>
      </c>
      <c r="E32" s="10">
        <v>31</v>
      </c>
      <c r="G32" s="13" t="s">
        <v>69</v>
      </c>
      <c r="H32" s="10">
        <v>34.354838709677416</v>
      </c>
      <c r="J32" s="13" t="s">
        <v>68</v>
      </c>
      <c r="K32" s="10">
        <v>66</v>
      </c>
    </row>
    <row r="33" spans="1:11" x14ac:dyDescent="0.25">
      <c r="D33" s="13" t="s">
        <v>70</v>
      </c>
      <c r="E33" s="10">
        <v>28</v>
      </c>
      <c r="G33" s="13" t="s">
        <v>70</v>
      </c>
      <c r="H33" s="10">
        <v>39.571428571428569</v>
      </c>
      <c r="J33" s="13" t="s">
        <v>69</v>
      </c>
      <c r="K33" s="10">
        <v>56</v>
      </c>
    </row>
    <row r="34" spans="1:11" x14ac:dyDescent="0.25">
      <c r="D34" s="13" t="s">
        <v>5</v>
      </c>
      <c r="E34" s="10">
        <v>991</v>
      </c>
      <c r="G34" s="13" t="s">
        <v>5</v>
      </c>
      <c r="H34" s="10">
        <v>35.544904137235115</v>
      </c>
      <c r="J34" s="13" t="s">
        <v>70</v>
      </c>
      <c r="K34" s="10">
        <v>35</v>
      </c>
    </row>
    <row r="35" spans="1:11" x14ac:dyDescent="0.25">
      <c r="J35" s="13" t="s">
        <v>5</v>
      </c>
      <c r="K35" s="10">
        <v>1405</v>
      </c>
    </row>
    <row r="41" spans="1:11" x14ac:dyDescent="0.25">
      <c r="A41" s="12" t="s">
        <v>6</v>
      </c>
      <c r="B41" s="10" t="s">
        <v>0</v>
      </c>
      <c r="C41" s="10" t="s">
        <v>12</v>
      </c>
      <c r="D41" s="10"/>
      <c r="F41" s="1" t="s">
        <v>6</v>
      </c>
      <c r="G41" t="s">
        <v>24</v>
      </c>
    </row>
    <row r="42" spans="1:11" x14ac:dyDescent="0.25">
      <c r="A42" s="13" t="s">
        <v>10</v>
      </c>
      <c r="B42" s="10">
        <v>487</v>
      </c>
      <c r="C42" s="15">
        <v>0.49142280524722504</v>
      </c>
      <c r="D42" s="10"/>
      <c r="F42" s="4" t="s">
        <v>16</v>
      </c>
      <c r="G42" s="5">
        <v>113</v>
      </c>
      <c r="J42" s="1" t="s">
        <v>6</v>
      </c>
      <c r="K42" t="s">
        <v>27</v>
      </c>
    </row>
    <row r="43" spans="1:11" x14ac:dyDescent="0.25">
      <c r="A43" s="13" t="s">
        <v>11</v>
      </c>
      <c r="B43" s="10">
        <v>504</v>
      </c>
      <c r="C43" s="15">
        <v>0.50857719475277496</v>
      </c>
      <c r="D43" s="10"/>
      <c r="F43" s="4" t="s">
        <v>17</v>
      </c>
      <c r="G43" s="5">
        <v>127</v>
      </c>
      <c r="J43" s="4" t="s">
        <v>25</v>
      </c>
      <c r="K43" s="5">
        <v>608</v>
      </c>
    </row>
    <row r="44" spans="1:11" x14ac:dyDescent="0.25">
      <c r="A44" s="13" t="s">
        <v>5</v>
      </c>
      <c r="B44" s="10">
        <v>991</v>
      </c>
      <c r="C44" s="15">
        <v>1</v>
      </c>
      <c r="D44" s="10"/>
      <c r="F44" s="4" t="s">
        <v>18</v>
      </c>
      <c r="G44" s="5">
        <v>144</v>
      </c>
      <c r="J44" s="4" t="s">
        <v>26</v>
      </c>
      <c r="K44" s="5">
        <v>383</v>
      </c>
    </row>
    <row r="45" spans="1:11" x14ac:dyDescent="0.25">
      <c r="F45" s="4" t="s">
        <v>19</v>
      </c>
      <c r="G45" s="5">
        <v>126</v>
      </c>
      <c r="J45" s="4" t="s">
        <v>5</v>
      </c>
      <c r="K45" s="5">
        <v>991</v>
      </c>
    </row>
    <row r="46" spans="1:11" x14ac:dyDescent="0.25">
      <c r="F46" s="4" t="s">
        <v>20</v>
      </c>
      <c r="G46" s="5">
        <v>119</v>
      </c>
    </row>
    <row r="47" spans="1:11" x14ac:dyDescent="0.25">
      <c r="F47" s="4" t="s">
        <v>21</v>
      </c>
      <c r="G47" s="5">
        <v>109</v>
      </c>
    </row>
    <row r="48" spans="1:11" x14ac:dyDescent="0.25">
      <c r="F48" s="4" t="s">
        <v>22</v>
      </c>
      <c r="G48" s="5">
        <v>125</v>
      </c>
    </row>
    <row r="49" spans="1:11" x14ac:dyDescent="0.25">
      <c r="F49" s="4" t="s">
        <v>23</v>
      </c>
      <c r="G49" s="5">
        <v>128</v>
      </c>
    </row>
    <row r="50" spans="1:11" x14ac:dyDescent="0.25">
      <c r="A50" s="6" t="s">
        <v>13</v>
      </c>
      <c r="B50" s="6" t="s">
        <v>14</v>
      </c>
      <c r="C50" s="6" t="s">
        <v>15</v>
      </c>
      <c r="D50" s="6"/>
      <c r="F50" s="4" t="s">
        <v>5</v>
      </c>
      <c r="G50" s="5">
        <v>991</v>
      </c>
      <c r="J50" s="1" t="s">
        <v>6</v>
      </c>
      <c r="K50" t="s">
        <v>30</v>
      </c>
    </row>
    <row r="51" spans="1:11" x14ac:dyDescent="0.25">
      <c r="A51" s="8" t="str">
        <f>A43</f>
        <v>Not Admitted</v>
      </c>
      <c r="B51" s="8">
        <f>B43</f>
        <v>504</v>
      </c>
      <c r="C51" s="9">
        <f>C43</f>
        <v>0.50857719475277496</v>
      </c>
      <c r="D51" s="7"/>
      <c r="J51" s="4" t="s">
        <v>28</v>
      </c>
      <c r="K51" s="5">
        <v>472</v>
      </c>
    </row>
    <row r="52" spans="1:11" x14ac:dyDescent="0.25">
      <c r="A52" s="8" t="str">
        <f>A42</f>
        <v>Admitted</v>
      </c>
      <c r="B52" s="8">
        <f>B42</f>
        <v>487</v>
      </c>
      <c r="C52" s="9">
        <f>C42</f>
        <v>0.49142280524722504</v>
      </c>
      <c r="D52" s="7"/>
      <c r="J52" s="4" t="s">
        <v>29</v>
      </c>
      <c r="K52" s="5">
        <v>519</v>
      </c>
    </row>
    <row r="53" spans="1:11" x14ac:dyDescent="0.25">
      <c r="J53" s="4" t="s">
        <v>5</v>
      </c>
      <c r="K53" s="5">
        <v>991</v>
      </c>
    </row>
    <row r="57" spans="1:11" x14ac:dyDescent="0.25">
      <c r="H57" s="1" t="s">
        <v>6</v>
      </c>
      <c r="I57" t="s">
        <v>39</v>
      </c>
    </row>
    <row r="58" spans="1:11" x14ac:dyDescent="0.25">
      <c r="H58" s="4" t="s">
        <v>31</v>
      </c>
      <c r="I58" s="5">
        <v>25</v>
      </c>
    </row>
    <row r="59" spans="1:11" x14ac:dyDescent="0.25">
      <c r="H59" s="4" t="s">
        <v>32</v>
      </c>
      <c r="I59" s="5">
        <v>23</v>
      </c>
    </row>
    <row r="60" spans="1:11" x14ac:dyDescent="0.25">
      <c r="H60" s="4" t="s">
        <v>33</v>
      </c>
      <c r="I60" s="5">
        <v>174</v>
      </c>
    </row>
    <row r="61" spans="1:11" x14ac:dyDescent="0.25">
      <c r="H61" s="4" t="s">
        <v>34</v>
      </c>
      <c r="I61" s="5">
        <v>27</v>
      </c>
    </row>
    <row r="62" spans="1:11" x14ac:dyDescent="0.25">
      <c r="H62" s="4" t="s">
        <v>35</v>
      </c>
      <c r="I62" s="5">
        <v>596</v>
      </c>
    </row>
    <row r="63" spans="1:11" x14ac:dyDescent="0.25">
      <c r="H63" s="4" t="s">
        <v>36</v>
      </c>
      <c r="I63" s="5">
        <v>113</v>
      </c>
    </row>
    <row r="64" spans="1:11" x14ac:dyDescent="0.25">
      <c r="H64" s="4" t="s">
        <v>37</v>
      </c>
      <c r="I64" s="5">
        <v>29</v>
      </c>
    </row>
    <row r="65" spans="6:9" x14ac:dyDescent="0.25">
      <c r="H65" s="4" t="s">
        <v>38</v>
      </c>
      <c r="I65" s="5">
        <v>4</v>
      </c>
    </row>
    <row r="66" spans="6:9" x14ac:dyDescent="0.25">
      <c r="H66" s="4" t="s">
        <v>5</v>
      </c>
      <c r="I66" s="5">
        <v>991</v>
      </c>
    </row>
    <row r="70" spans="6:9" x14ac:dyDescent="0.25">
      <c r="F70" s="1" t="s">
        <v>6</v>
      </c>
    </row>
    <row r="71" spans="6:9" x14ac:dyDescent="0.25">
      <c r="F71" s="4" t="s">
        <v>40</v>
      </c>
    </row>
    <row r="72" spans="6:9" x14ac:dyDescent="0.25">
      <c r="F72"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C45B-88A9-4E0C-A539-0B9D255C857F}">
  <dimension ref="A1"/>
  <sheetViews>
    <sheetView workbookViewId="0">
      <selection activeCell="A2" sqref="A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6F513-2DE9-4925-B2DC-A04EBF0C2011}">
  <dimension ref="A1:K13"/>
  <sheetViews>
    <sheetView showGridLines="0" showRowColHeaders="0" zoomScale="183" zoomScaleNormal="172" workbookViewId="0">
      <selection activeCell="K9" sqref="K9"/>
    </sheetView>
  </sheetViews>
  <sheetFormatPr defaultRowHeight="15" x14ac:dyDescent="0.25"/>
  <cols>
    <col min="11" max="11" width="12" customWidth="1"/>
  </cols>
  <sheetData>
    <row r="1" spans="1:11" x14ac:dyDescent="0.25">
      <c r="A1" s="3"/>
      <c r="B1" s="3"/>
      <c r="C1" s="3"/>
      <c r="D1" s="3"/>
      <c r="E1" s="3"/>
      <c r="F1" s="3"/>
      <c r="G1" s="3"/>
      <c r="H1" s="3"/>
      <c r="I1" s="3"/>
      <c r="J1" s="3"/>
      <c r="K1" s="3"/>
    </row>
    <row r="2" spans="1:11" x14ac:dyDescent="0.25">
      <c r="A2" s="3"/>
      <c r="B2" s="3"/>
      <c r="C2" s="3"/>
      <c r="D2" s="3"/>
      <c r="E2" s="3"/>
      <c r="F2" s="3"/>
      <c r="G2" s="3"/>
      <c r="H2" s="3"/>
      <c r="I2" s="3"/>
      <c r="J2" s="3"/>
      <c r="K2" s="3"/>
    </row>
    <row r="3" spans="1:11" x14ac:dyDescent="0.25">
      <c r="A3" s="3"/>
      <c r="B3" s="3"/>
      <c r="C3" s="3"/>
      <c r="D3" s="3"/>
      <c r="E3" s="3"/>
      <c r="F3" s="3"/>
      <c r="G3" s="3"/>
      <c r="H3" s="3"/>
      <c r="I3" s="3"/>
      <c r="J3" s="3"/>
      <c r="K3" s="3"/>
    </row>
    <row r="4" spans="1:11" x14ac:dyDescent="0.25">
      <c r="A4" s="3"/>
      <c r="B4" s="3"/>
      <c r="C4" s="3"/>
      <c r="D4" s="3"/>
      <c r="E4" s="3"/>
      <c r="F4" s="3"/>
      <c r="G4" s="3"/>
      <c r="H4" s="3"/>
      <c r="I4" s="3"/>
      <c r="J4" s="3"/>
      <c r="K4" s="3"/>
    </row>
    <row r="5" spans="1:11" x14ac:dyDescent="0.25">
      <c r="A5" s="3"/>
      <c r="B5" s="3"/>
      <c r="C5" s="3"/>
      <c r="D5" s="3"/>
      <c r="E5" s="3"/>
      <c r="F5" s="3"/>
      <c r="G5" s="3"/>
      <c r="H5" s="3"/>
      <c r="I5" s="3"/>
      <c r="J5" s="3"/>
      <c r="K5" s="3"/>
    </row>
    <row r="6" spans="1:11" x14ac:dyDescent="0.25">
      <c r="A6" s="3"/>
      <c r="B6" s="3"/>
      <c r="C6" s="3"/>
      <c r="D6" s="3"/>
      <c r="E6" s="3"/>
      <c r="F6" s="3"/>
      <c r="G6" s="3"/>
      <c r="H6" s="3"/>
      <c r="I6" s="3"/>
      <c r="J6" s="3"/>
      <c r="K6" s="3"/>
    </row>
    <row r="7" spans="1:11" x14ac:dyDescent="0.25">
      <c r="A7" s="3"/>
      <c r="B7" s="3"/>
      <c r="C7" s="3"/>
      <c r="D7" s="3"/>
      <c r="E7" s="3"/>
      <c r="F7" s="3"/>
      <c r="G7" s="3"/>
      <c r="H7" s="3"/>
      <c r="I7" s="3"/>
      <c r="J7" s="3"/>
      <c r="K7" s="3"/>
    </row>
    <row r="8" spans="1:11" x14ac:dyDescent="0.25">
      <c r="A8" s="3"/>
      <c r="B8" s="3"/>
      <c r="C8" s="3"/>
      <c r="D8" s="3"/>
      <c r="E8" s="3"/>
      <c r="F8" s="3"/>
      <c r="G8" s="3"/>
      <c r="H8" s="3"/>
      <c r="I8" s="3"/>
      <c r="J8" s="3"/>
      <c r="K8" s="3"/>
    </row>
    <row r="9" spans="1:11" x14ac:dyDescent="0.25">
      <c r="A9" s="3"/>
      <c r="B9" s="3"/>
      <c r="C9" s="3"/>
      <c r="D9" s="3"/>
      <c r="E9" s="3"/>
      <c r="F9" s="3"/>
      <c r="G9" s="3"/>
      <c r="H9" s="3"/>
      <c r="I9" s="3"/>
      <c r="J9" s="3"/>
      <c r="K9" s="3"/>
    </row>
    <row r="10" spans="1:11" x14ac:dyDescent="0.25">
      <c r="A10" s="3"/>
      <c r="B10" s="3"/>
      <c r="C10" s="3"/>
      <c r="D10" s="3"/>
      <c r="E10" s="3"/>
      <c r="F10" s="3"/>
      <c r="G10" s="3"/>
      <c r="H10" s="3"/>
      <c r="I10" s="3"/>
      <c r="J10" s="3"/>
      <c r="K10" s="3"/>
    </row>
    <row r="11" spans="1:11" x14ac:dyDescent="0.25">
      <c r="A11" s="3"/>
      <c r="B11" s="3"/>
      <c r="C11" s="3"/>
      <c r="D11" s="3"/>
      <c r="E11" s="3"/>
      <c r="F11" s="3"/>
      <c r="G11" s="3"/>
      <c r="H11" s="3"/>
      <c r="I11" s="3"/>
      <c r="J11" s="3"/>
      <c r="K11" s="3"/>
    </row>
    <row r="12" spans="1:11" x14ac:dyDescent="0.25">
      <c r="A12" s="3"/>
      <c r="B12" s="3"/>
      <c r="C12" s="3"/>
      <c r="D12" s="3"/>
      <c r="E12" s="3"/>
      <c r="F12" s="3"/>
      <c r="G12" s="3"/>
      <c r="H12" s="3"/>
      <c r="I12" s="3"/>
      <c r="J12" s="3"/>
      <c r="K12" s="3"/>
    </row>
    <row r="13" spans="1:11" x14ac:dyDescent="0.25">
      <c r="A13" s="3"/>
      <c r="B13" s="3"/>
      <c r="C13" s="3"/>
      <c r="D13" s="3"/>
      <c r="E13" s="3"/>
      <c r="F13" s="3"/>
      <c r="G13" s="3"/>
      <c r="H13" s="3"/>
      <c r="I13" s="3"/>
      <c r="J13" s="3"/>
      <c r="K13"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C632-5A4E-43B6-A4E3-E99EFACC4D8B}">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03D23-A4CE-4A5F-9173-E8FA277F4CC5}">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8D5C7C6D-9D6F-4F01-A082-89470DDF264A}">
  <ds:schemaRefs/>
</ds:datastoreItem>
</file>

<file path=customXml/itemProps2.xml><?xml version="1.0" encoding="utf-8"?>
<ds:datastoreItem xmlns:ds="http://schemas.openxmlformats.org/officeDocument/2006/customXml" ds:itemID="{E2387305-894F-4A63-9A5D-15F87757EF9D}">
  <ds:schemaRefs/>
</ds:datastoreItem>
</file>

<file path=customXml/itemProps3.xml><?xml version="1.0" encoding="utf-8"?>
<ds:datastoreItem xmlns:ds="http://schemas.openxmlformats.org/officeDocument/2006/customXml" ds:itemID="{6C91A433-B76F-4BA2-8590-47CCF3DBF729}">
  <ds:schemaRefs/>
</ds:datastoreItem>
</file>

<file path=customXml/itemProps4.xml><?xml version="1.0" encoding="utf-8"?>
<ds:datastoreItem xmlns:ds="http://schemas.openxmlformats.org/officeDocument/2006/customXml" ds:itemID="{6EF73C18-2B7E-4703-90D6-C1A5A8892584}">
  <ds:schemaRefs/>
</ds:datastoreItem>
</file>

<file path=customXml/itemProps5.xml><?xml version="1.0" encoding="utf-8"?>
<ds:datastoreItem xmlns:ds="http://schemas.openxmlformats.org/officeDocument/2006/customXml" ds:itemID="{BD3982AD-F057-4362-811F-C5030074DD10}">
  <ds:schemaRefs/>
</ds:datastoreItem>
</file>

<file path=customXml/itemProps6.xml><?xml version="1.0" encoding="utf-8"?>
<ds:datastoreItem xmlns:ds="http://schemas.openxmlformats.org/officeDocument/2006/customXml" ds:itemID="{4F146672-8B51-4CAF-B039-82C9B79B4925}">
  <ds:schemaRefs/>
</ds:datastoreItem>
</file>

<file path=customXml/itemProps7.xml><?xml version="1.0" encoding="utf-8"?>
<ds:datastoreItem xmlns:ds="http://schemas.openxmlformats.org/officeDocument/2006/customXml" ds:itemID="{9B4D7625-E87E-4B25-82A4-497B3DF31B2B}">
  <ds:schemaRefs/>
</ds:datastoreItem>
</file>

<file path=customXml/itemProps8.xml><?xml version="1.0" encoding="utf-8"?>
<ds:datastoreItem xmlns:ds="http://schemas.openxmlformats.org/officeDocument/2006/customXml" ds:itemID="{DFCDB55F-5A06-4B8C-9069-486914766D16}">
  <ds:schemaRefs/>
</ds:datastoreItem>
</file>

<file path=customXml/itemProps9.xml><?xml version="1.0" encoding="utf-8"?>
<ds:datastoreItem xmlns:ds="http://schemas.openxmlformats.org/officeDocument/2006/customXml" ds:itemID="{FFA95F18-895A-460E-BA71-375526659035}">
  <ds:schemaRefs/>
</ds:datastoreItem>
</file>

<file path=customXml/itemProps10.xml><?xml version="1.0" encoding="utf-8"?>
<ds:datastoreItem xmlns:ds="http://schemas.openxmlformats.org/officeDocument/2006/customXml" ds:itemID="{ABBADACE-9F17-49FE-8EC3-D8ECCAFA7907}">
  <ds:schemaRefs/>
</ds:datastoreItem>
</file>

<file path=customXml/itemProps11.xml><?xml version="1.0" encoding="utf-8"?>
<ds:datastoreItem xmlns:ds="http://schemas.openxmlformats.org/officeDocument/2006/customXml" ds:itemID="{D9E0D030-0370-4CBF-AE39-B424F03FA7D7}">
  <ds:schemaRefs/>
</ds:datastoreItem>
</file>

<file path=customXml/itemProps12.xml><?xml version="1.0" encoding="utf-8"?>
<ds:datastoreItem xmlns:ds="http://schemas.openxmlformats.org/officeDocument/2006/customXml" ds:itemID="{2958DE4E-2877-46D1-8EF2-8FA11A3D03C6}">
  <ds:schemaRefs/>
</ds:datastoreItem>
</file>

<file path=customXml/itemProps13.xml><?xml version="1.0" encoding="utf-8"?>
<ds:datastoreItem xmlns:ds="http://schemas.openxmlformats.org/officeDocument/2006/customXml" ds:itemID="{94E8C92A-251E-4B46-81F4-20378BE6F329}">
  <ds:schemaRefs/>
</ds:datastoreItem>
</file>

<file path=customXml/itemProps14.xml><?xml version="1.0" encoding="utf-8"?>
<ds:datastoreItem xmlns:ds="http://schemas.openxmlformats.org/officeDocument/2006/customXml" ds:itemID="{22576C80-BE41-4D99-9C33-67DDA86CD25F}">
  <ds:schemaRefs/>
</ds:datastoreItem>
</file>

<file path=customXml/itemProps15.xml><?xml version="1.0" encoding="utf-8"?>
<ds:datastoreItem xmlns:ds="http://schemas.openxmlformats.org/officeDocument/2006/customXml" ds:itemID="{4C32E945-3D0E-47CA-A785-82157709C289}">
  <ds:schemaRefs/>
</ds:datastoreItem>
</file>

<file path=customXml/itemProps16.xml><?xml version="1.0" encoding="utf-8"?>
<ds:datastoreItem xmlns:ds="http://schemas.openxmlformats.org/officeDocument/2006/customXml" ds:itemID="{7F616859-A41D-4727-B3D1-49A2063087B8}">
  <ds:schemaRefs/>
</ds:datastoreItem>
</file>

<file path=customXml/itemProps17.xml><?xml version="1.0" encoding="utf-8"?>
<ds:datastoreItem xmlns:ds="http://schemas.openxmlformats.org/officeDocument/2006/customXml" ds:itemID="{33EE4753-2946-40B8-8645-D3F7CB200EFD}">
  <ds:schemaRefs/>
</ds:datastoreItem>
</file>

<file path=customXml/itemProps18.xml><?xml version="1.0" encoding="utf-8"?>
<ds:datastoreItem xmlns:ds="http://schemas.openxmlformats.org/officeDocument/2006/customXml" ds:itemID="{4CBAAF70-F4C2-4DAA-8AD7-FEABFBD91DF4}">
  <ds:schemaRefs/>
</ds:datastoreItem>
</file>

<file path=customXml/itemProps19.xml><?xml version="1.0" encoding="utf-8"?>
<ds:datastoreItem xmlns:ds="http://schemas.openxmlformats.org/officeDocument/2006/customXml" ds:itemID="{D104D83F-466D-45DF-94B9-25CF4CDE7CD2}">
  <ds:schemaRefs/>
</ds:datastoreItem>
</file>

<file path=customXml/itemProps20.xml><?xml version="1.0" encoding="utf-8"?>
<ds:datastoreItem xmlns:ds="http://schemas.openxmlformats.org/officeDocument/2006/customXml" ds:itemID="{24F90D47-8304-45F8-B1D0-8A6BBD221C91}">
  <ds:schemaRefs/>
</ds:datastoreItem>
</file>

<file path=customXml/itemProps21.xml><?xml version="1.0" encoding="utf-8"?>
<ds:datastoreItem xmlns:ds="http://schemas.openxmlformats.org/officeDocument/2006/customXml" ds:itemID="{7E05D41E-FC7E-4A9C-88BC-66ABB8B5FA19}">
  <ds:schemaRefs/>
</ds:datastoreItem>
</file>

<file path=customXml/itemProps22.xml><?xml version="1.0" encoding="utf-8"?>
<ds:datastoreItem xmlns:ds="http://schemas.openxmlformats.org/officeDocument/2006/customXml" ds:itemID="{953215AA-C3A4-46C0-BCDA-959B9B5A7B59}">
  <ds:schemaRefs/>
</ds:datastoreItem>
</file>

<file path=customXml/itemProps23.xml><?xml version="1.0" encoding="utf-8"?>
<ds:datastoreItem xmlns:ds="http://schemas.openxmlformats.org/officeDocument/2006/customXml" ds:itemID="{06DDAC5F-7190-4E3E-BF2D-63D600DEC6D0}">
  <ds:schemaRefs/>
</ds:datastoreItem>
</file>

<file path=customXml/itemProps24.xml><?xml version="1.0" encoding="utf-8"?>
<ds:datastoreItem xmlns:ds="http://schemas.openxmlformats.org/officeDocument/2006/customXml" ds:itemID="{F185D204-AB8C-44F6-9D6A-AAAA6818AB52}">
  <ds:schemaRefs/>
</ds:datastoreItem>
</file>

<file path=customXml/itemProps25.xml><?xml version="1.0" encoding="utf-8"?>
<ds:datastoreItem xmlns:ds="http://schemas.openxmlformats.org/officeDocument/2006/customXml" ds:itemID="{018013E1-3153-4FAA-933D-906A5493233E}">
  <ds:schemaRefs>
    <ds:schemaRef ds:uri="http://schemas.microsoft.com/DataMashup"/>
  </ds:schemaRefs>
</ds:datastoreItem>
</file>

<file path=customXml/itemProps26.xml><?xml version="1.0" encoding="utf-8"?>
<ds:datastoreItem xmlns:ds="http://schemas.openxmlformats.org/officeDocument/2006/customXml" ds:itemID="{B133D1B6-A90B-455F-AB05-68D89AFC6E67}">
  <ds:schemaRefs/>
</ds:datastoreItem>
</file>

<file path=customXml/itemProps27.xml><?xml version="1.0" encoding="utf-8"?>
<ds:datastoreItem xmlns:ds="http://schemas.openxmlformats.org/officeDocument/2006/customXml" ds:itemID="{4493E2B7-2C7C-4087-83EF-14485F29AF68}">
  <ds:schemaRefs/>
</ds:datastoreItem>
</file>

<file path=customXml/itemProps28.xml><?xml version="1.0" encoding="utf-8"?>
<ds:datastoreItem xmlns:ds="http://schemas.openxmlformats.org/officeDocument/2006/customXml" ds:itemID="{6CE1D3C4-C205-49D9-A135-82A7D1C1A681}">
  <ds:schemaRefs/>
</ds:datastoreItem>
</file>

<file path=customXml/itemProps29.xml><?xml version="1.0" encoding="utf-8"?>
<ds:datastoreItem xmlns:ds="http://schemas.openxmlformats.org/officeDocument/2006/customXml" ds:itemID="{9C4C45B9-578E-4681-9202-42FC04393D62}">
  <ds:schemaRefs/>
</ds:datastoreItem>
</file>

<file path=customXml/itemProps30.xml><?xml version="1.0" encoding="utf-8"?>
<ds:datastoreItem xmlns:ds="http://schemas.openxmlformats.org/officeDocument/2006/customXml" ds:itemID="{B2A6AAE5-C4C9-4439-9E7D-6CFBBE178BF1}">
  <ds:schemaRefs/>
</ds:datastoreItem>
</file>

<file path=customXml/itemProps31.xml><?xml version="1.0" encoding="utf-8"?>
<ds:datastoreItem xmlns:ds="http://schemas.openxmlformats.org/officeDocument/2006/customXml" ds:itemID="{1D050C2C-3874-4208-995B-119848AD913A}">
  <ds:schemaRefs/>
</ds:datastoreItem>
</file>

<file path=customXml/itemProps32.xml><?xml version="1.0" encoding="utf-8"?>
<ds:datastoreItem xmlns:ds="http://schemas.openxmlformats.org/officeDocument/2006/customXml" ds:itemID="{E2AB4C5C-6ABC-4398-B770-AE176482B1C5}">
  <ds:schemaRefs/>
</ds:datastoreItem>
</file>

<file path=customXml/itemProps33.xml><?xml version="1.0" encoding="utf-8"?>
<ds:datastoreItem xmlns:ds="http://schemas.openxmlformats.org/officeDocument/2006/customXml" ds:itemID="{E3DE3F29-9D19-4543-93A2-F4C244E532B6}">
  <ds:schemaRefs/>
</ds:datastoreItem>
</file>

<file path=customXml/itemProps34.xml><?xml version="1.0" encoding="utf-8"?>
<ds:datastoreItem xmlns:ds="http://schemas.openxmlformats.org/officeDocument/2006/customXml" ds:itemID="{A1999980-5948-48B3-9C07-01DDB7C66AC6}">
  <ds:schemaRefs/>
</ds:datastoreItem>
</file>

<file path=customXml/itemProps35.xml><?xml version="1.0" encoding="utf-8"?>
<ds:datastoreItem xmlns:ds="http://schemas.openxmlformats.org/officeDocument/2006/customXml" ds:itemID="{4887078A-5C55-48FB-91C1-F46B7D951B45}">
  <ds:schemaRefs/>
</ds:datastoreItem>
</file>

<file path=customXml/itemProps36.xml><?xml version="1.0" encoding="utf-8"?>
<ds:datastoreItem xmlns:ds="http://schemas.openxmlformats.org/officeDocument/2006/customXml" ds:itemID="{A6975797-9A53-423B-A556-A83329ADDA79}">
  <ds:schemaRefs/>
</ds:datastoreItem>
</file>

<file path=customXml/itemProps37.xml><?xml version="1.0" encoding="utf-8"?>
<ds:datastoreItem xmlns:ds="http://schemas.openxmlformats.org/officeDocument/2006/customXml" ds:itemID="{E25A9BD4-6E90-4791-B8FB-C326C42154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Patient Score</vt:lpstr>
      <vt:lpstr>Dashboard</vt:lpstr>
      <vt:lpstr>Patients Average Waiting Time</vt:lpstr>
      <vt:lpstr>No of Patient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Valmiki</dc:creator>
  <cp:lastModifiedBy>Sagar Valmiki</cp:lastModifiedBy>
  <dcterms:created xsi:type="dcterms:W3CDTF">2026-06-16T16:51:35Z</dcterms:created>
  <dcterms:modified xsi:type="dcterms:W3CDTF">2026-06-18T04:22:32Z</dcterms:modified>
</cp:coreProperties>
</file>